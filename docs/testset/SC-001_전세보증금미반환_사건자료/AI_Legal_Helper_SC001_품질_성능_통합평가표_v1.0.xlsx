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a0ab3facc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84af9275b2534364"/>
    <x:sheet xmlns:r="http://schemas.openxmlformats.org/officeDocument/2006/relationships" name="단계별질문" sheetId="2" r:id="R5052fefe202f4335"/>
    <x:sheet xmlns:r="http://schemas.openxmlformats.org/officeDocument/2006/relationships" name="단계별정답" sheetId="3" r:id="R7260171ba5f44787"/>
    <x:sheet xmlns:r="http://schemas.openxmlformats.org/officeDocument/2006/relationships" name="채점입력" sheetId="4" r:id="Re75b513198af41c5"/>
    <x:sheet xmlns:r="http://schemas.openxmlformats.org/officeDocument/2006/relationships" name="점수집계" sheetId="5" r:id="Rcb814e9a691544e5"/>
    <x:sheet xmlns:r="http://schemas.openxmlformats.org/officeDocument/2006/relationships" name="성능지표정의" sheetId="6" r:id="R6a5927dd645c4441"/>
    <x:sheet xmlns:r="http://schemas.openxmlformats.org/officeDocument/2006/relationships" name="평가실행관리" sheetId="7" r:id="Rc0e430fafbde48f8"/>
    <x:sheet xmlns:r="http://schemas.openxmlformats.org/officeDocument/2006/relationships" name="성능결과비교" sheetId="8" r:id="Rf91e587bfef8479c"/>
    <x:sheet xmlns:r="http://schemas.openxmlformats.org/officeDocument/2006/relationships" name="상담Trace원본" sheetId="9" r:id="R38effd75bdaf473a"/>
    <x:sheet xmlns:r="http://schemas.openxmlformats.org/officeDocument/2006/relationships" name="작업실행원본" sheetId="10" r:id="R8a90bc5ca5de48af"/>
    <x:sheet xmlns:r="http://schemas.openxmlformats.org/officeDocument/2006/relationships" name="통합평가안내" sheetId="11" r:id="R56e7df01f8984f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5"/>
      </x:patternFill>
    </x:fill>
    <x:fill>
      <x:patternFill patternType="solid">
        <x:fgColor rgb="FFFFF1C7"/>
      </x:patternFill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3e8d4e2f546db" /><Relationship Type="http://schemas.openxmlformats.org/officeDocument/2006/relationships/theme" Target="/xl/theme/theme1.xml" Id="R7f5a5fd912184766" /><Relationship Type="http://schemas.openxmlformats.org/officeDocument/2006/relationships/sharedStrings" Target="/xl/sharedStrings.xml" Id="Ra1cb669e57c34f41" /><Relationship Type="http://schemas.openxmlformats.org/officeDocument/2006/relationships/worksheet" Target="/xl/worksheets/sheet1.xml" Id="R84af9275b2534364" /><Relationship Type="http://schemas.openxmlformats.org/officeDocument/2006/relationships/worksheet" Target="/xl/worksheets/sheet2.xml" Id="R5052fefe202f4335" /><Relationship Type="http://schemas.openxmlformats.org/officeDocument/2006/relationships/worksheet" Target="/xl/worksheets/sheet3.xml" Id="R7260171ba5f44787" /><Relationship Type="http://schemas.openxmlformats.org/officeDocument/2006/relationships/worksheet" Target="/xl/worksheets/sheet4.xml" Id="Re75b513198af41c5" /><Relationship Type="http://schemas.openxmlformats.org/officeDocument/2006/relationships/worksheet" Target="/xl/worksheets/sheet5.xml" Id="Rcb814e9a691544e5" /><Relationship Type="http://schemas.openxmlformats.org/officeDocument/2006/relationships/worksheet" Target="/xl/worksheets/sheet6.xml" Id="R6a5927dd645c4441" /><Relationship Type="http://schemas.openxmlformats.org/officeDocument/2006/relationships/worksheet" Target="/xl/worksheets/sheet7.xml" Id="Rc0e430fafbde48f8" /><Relationship Type="http://schemas.openxmlformats.org/officeDocument/2006/relationships/worksheet" Target="/xl/worksheets/sheet8.xml" Id="Rf91e587bfef8479c" /><Relationship Type="http://schemas.openxmlformats.org/officeDocument/2006/relationships/worksheet" Target="/xl/worksheets/sheet9.xml" Id="R38effd75bdaf473a" /><Relationship Type="http://schemas.openxmlformats.org/officeDocument/2006/relationships/worksheet" Target="/xl/worksheets/sheet10.xml" Id="R8a90bc5ca5de48af" /><Relationship Type="http://schemas.openxmlformats.org/officeDocument/2006/relationships/worksheet" Target="/xl/worksheets/sheet11.xml" Id="R56e7df01f8984f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 ht="32" customHeight="1">
      <x:c r="A1" s="4" t="str">
        <x:v>SC-001 동적 사건 대응 KPI 평가 패키지</x:v>
      </x:c>
      <x:c r="B1" s="4" t="str">
        <x:v>v1.0 | 수동 측정</x:v>
      </x:c>
    </x:row>
    <x:row r="3" ht="33" customHeight="1">
      <x:c r="A3" s="9" t="str">
        <x:v>목적</x:v>
      </x:c>
      <x:c r="B3" s="12" t="str">
        <x:v>증거를 시간순으로 누적 등록하고, 같은 사건에서 매 단계 상담 결과를 비교</x:v>
      </x:c>
    </x:row>
    <x:row r="4" ht="33" customHeight="1">
      <x:c r="A4" s="9" t="str">
        <x:v>시작</x:v>
      </x:c>
      <x:c r="B4" s="12" t="str">
        <x:v>평가 전용 사건 1건 생성. 기존 전체 증거 등록 사건은 사용하지 않음</x:v>
      </x:c>
    </x:row>
    <x:row r="5" ht="33" customHeight="1">
      <x:c r="A5" s="9" t="str">
        <x:v>실행</x:v>
      </x:c>
      <x:c r="B5" s="12" t="str">
        <x:v>S1 증거 등록→질문 실행→답변 저장→채점→S2 추가 증거 등록…S8까지 반복</x:v>
      </x:c>
    </x:row>
    <x:row r="6" ht="33" customHeight="1">
      <x:c r="A6" s="9" t="str">
        <x:v>정답</x:v>
      </x:c>
      <x:c r="B6" s="12" t="str">
        <x:v>'단계별정답'의 기대 사실·쟁점·행동·금지사항을 참고하되 원문 증거와 대조</x:v>
      </x:c>
    </x:row>
    <x:row r="7" ht="33" customHeight="1">
      <x:c r="A7" s="9" t="str">
        <x:v>채점</x:v>
      </x:c>
      <x:c r="B7" s="12" t="str">
        <x:v>'채점입력' 시트 G열에서 충족/부분/미충족 선택; F열은 점수 자동 계산</x:v>
      </x:c>
    </x:row>
    <x:row r="8" ht="33" customHeight="1">
      <x:c r="A8" s="9" t="str">
        <x:v>점수</x:v>
      </x:c>
      <x:c r="B8" s="12" t="str">
        <x:v>충족 1점, 부분 0.5점, 미충족 0점. 미평가 행은 완료 판정에서 제외</x:v>
      </x:c>
    </x:row>
    <x:row r="9" ht="33" customHeight="1">
      <x:c r="A9" s="9" t="str">
        <x:v>K1</x:v>
      </x:c>
      <x:c r="B9" s="12" t="str">
        <x:v>사실 정확성+쟁점 식별 16개 판정의 점수/16×100; 목표 90%</x:v>
      </x:c>
    </x:row>
    <x:row r="10" ht="33" customHeight="1">
      <x:c r="A10" s="9" t="str">
        <x:v>동적 대응 진단</x:v>
      </x:c>
      <x:c r="B10" s="12" t="str">
        <x:v>맥락 유지+재판단+미래정보 방지 24개 판정의 점수/24×100 (보조 지표)</x:v>
      </x:c>
    </x:row>
    <x:row r="11" ht="33" customHeight="1">
      <x:c r="A11" s="9" t="str">
        <x:v>전체 진단</x:v>
      </x:c>
      <x:c r="B11" s="12" t="str">
        <x:v>40개 판정의 점수/40×100 (공식 KPI와 혼동 금지)</x:v>
      </x:c>
    </x:row>
    <x:row r="12" ht="33" customHeight="1">
      <x:c r="A12" s="9" t="str">
        <x:v>주의</x:v>
      </x:c>
      <x:c r="B12" s="12" t="str">
        <x:v>Gold v1.2는 FROZEN이나 법률 전문가 검토는 PROVISIONAL; 이 파일은 신규 순차 평가 설계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25" hidden="0" customWidth="1"/>
    <x:col min="4" max="4" width="52" hidden="0" customWidth="1"/>
    <x:col min="5" max="5" width="115" hidden="0" customWidth="1"/>
  </x:cols>
  <x:sheetData>
    <x:row r="1" ht="32" customHeight="1">
      <x:c r="A1" s="4" t="str">
        <x:v>단계</x:v>
      </x:c>
      <x:c r="B1" s="4" t="str">
        <x:v>기준시점</x:v>
      </x:c>
      <x:c r="C1" s="4" t="str">
        <x:v>사건 변화</x:v>
      </x:c>
      <x:c r="D1" s="4" t="str">
        <x:v>새 증거(기존 증거 누적)</x:v>
      </x:c>
      <x:c r="E1" s="4" t="str">
        <x:v>복사하여 입력할 상담 질문</x:v>
      </x:c>
    </x:row>
    <x:row r="2" ht="86" customHeight="1">
      <x:c r="A2" s="12" t="str">
        <x:v>S1</x:v>
      </x:c>
      <x:c r="B2" s="12" t="str">
        <x:v>2022-03-01</x:v>
      </x:c>
      <x:c r="C2" s="12" t="str">
        <x:v>계약·입주</x:v>
      </x:c>
      <x:c r="D2" s="12" t="str">
        <x:v>E01 계약서 / E02 지급 / E03 전입·확정일자</x:v>
      </x:c>
      <x:c r="E2" s="12" t="str">
        <x:v>등록된 계약서와 입금·전입 자료를 기준으로 현재까지 확인되는 계약 사실, 당사자, 보증금 지급 여부, 임차인의 권리 및 앞으로 확인할 사항을 분석해 주세요.</x:v>
      </x:c>
    </x:row>
    <x:row r="3" ht="86" customHeight="1">
      <x:c r="A3" s="12" t="str">
        <x:v>S2</x:v>
      </x:c>
      <x:c r="B3" s="12" t="str">
        <x:v>2024-03-01</x:v>
      </x:c>
      <x:c r="C3" s="12" t="str">
        <x:v>묵시적 갱신</x:v>
      </x:c>
      <x:c r="D3" s="12" t="str">
        <x:v>E04 갱신 관련 자료</x:v>
      </x:c>
      <x:c r="E3" s="12" t="str">
        <x:v>최초 계약기간이 지났지만 갱신계약서를 새로 작성하지 않았습니다. 기존 계약은 현재 어떤 상태인가요? 앞으로 계약을 종료하려면 어떻게 해야 하나요?</x:v>
      </x:c>
    </x:row>
    <x:row r="4" ht="86" customHeight="1">
      <x:c r="A4" s="12" t="str">
        <x:v>S3</x:v>
      </x:c>
      <x:c r="B4" s="12" t="str">
        <x:v>2026-04-01</x:v>
      </x:c>
      <x:c r="C4" s="12" t="str">
        <x:v>해지·퇴거 통보</x:v>
      </x:c>
      <x:c r="D4" s="12" t="str">
        <x:v>E05 해지·퇴거 문자</x:v>
      </x:c>
      <x:c r="E4" s="12" t="str">
        <x:v>오늘 임대인에게 2026년 9월 30일에 퇴거하고 보증금 3억 원을 반환받겠다는 문자를 보냈습니다. 이 통보로 계약이 종료되나요? 언제부터 효력이 발생하고 어떤 증거를 보관해야 하나요?</x:v>
      </x:c>
    </x:row>
    <x:row r="5" ht="86" customHeight="1">
      <x:c r="A5" s="12" t="str">
        <x:v>S4</x:v>
      </x:c>
      <x:c r="B5" s="12" t="str">
        <x:v>2026-05-20</x:v>
      </x:c>
      <x:c r="C5" s="12" t="str">
        <x:v>분할반환 제안</x:v>
      </x:c>
      <x:c r="D5" s="12" t="str">
        <x:v>E06 제안 자료 / E07 통화 자료(해당 시)</x:v>
      </x:c>
      <x:c r="E5" s="12" t="str">
        <x:v>집주인이 새 세입자 보증금으로 일부를 먼저 주고 나머지는 1년 후에 지급하겠다고 합니다. 기존 대응에서 무엇을 바꿔야 하나요?</x:v>
      </x:c>
    </x:row>
    <x:row r="6" ht="86" customHeight="1">
      <x:c r="A6" s="12" t="str">
        <x:v>S5</x:v>
      </x:c>
      <x:c r="B6" s="12" t="str">
        <x:v>2026-08-12</x:v>
      </x:c>
      <x:c r="C6" s="12" t="str">
        <x:v>은행 가압류</x:v>
      </x:c>
      <x:c r="D6" s="12" t="str">
        <x:v>E09 은행 가압류 / E11 등기부(해당 시)</x:v>
      </x:c>
      <x:c r="E6" s="12" t="str">
        <x:v>등기부에서 2026년 8월 12일 은행 가압류 7,200만 원을 발견했습니다. 제 보증금 반환에 어떤 변화가 생겼나요? 기존 권리분석과 대응을 다시 평가해 주세요.</x:v>
      </x:c>
    </x:row>
    <x:row r="7" ht="86" customHeight="1">
      <x:c r="A7" s="12" t="str">
        <x:v>S6</x:v>
      </x:c>
      <x:c r="B7" s="12" t="str">
        <x:v>2026-09-18</x:v>
      </x:c>
      <x:c r="C7" s="12" t="str">
        <x:v>HUG 가압류 추가</x:v>
      </x:c>
      <x:c r="D7" s="12" t="str">
        <x:v>E10 HUG 가압류 / 최신 E11 등기부</x:v>
      </x:c>
      <x:c r="E7" s="12" t="str">
        <x:v>HUG의 구상금 가압류 1억 2천만 원도 확인했습니다. 현재 권리관계가 어떻게 달라졌나요? 대응을 우선순위대로 알려주세요.</x:v>
      </x:c>
    </x:row>
    <x:row r="8" ht="86" customHeight="1">
      <x:c r="A8" s="12" t="str">
        <x:v>S7</x:v>
      </x:c>
      <x:c r="B8" s="12" t="str">
        <x:v>2026-10-01</x:v>
      </x:c>
      <x:c r="C8" s="12" t="str">
        <x:v>반환기한 경과</x:v>
      </x:c>
      <x:c r="D8" s="12" t="str">
        <x:v>E15 미반환 관련 자료</x:v>
      </x:c>
      <x:c r="E8" s="12" t="str">
        <x:v>9월 30일이 지났지만 보증금 3억 원을 반환하지 않았습니다. 계약 종료·반환 청구·임차권등기명령·소송 등 다음 조치를 우선순위대로 알려주세요.</x:v>
      </x:c>
    </x:row>
    <x:row r="9" ht="86" customHeight="1">
      <x:c r="A9" s="12" t="str">
        <x:v>S8</x:v>
      </x:c>
      <x:c r="B9" s="12" t="str">
        <x:v>2026-10-15</x:v>
      </x:c>
      <x:c r="C9" s="12" t="str">
        <x:v>점유 유지·이사 검토</x:v>
      </x:c>
      <x:c r="D9" s="12" t="str">
        <x:v>E16 점유·주민등록 자료</x:v>
      </x:c>
      <x:c r="E9" s="12" t="str">
        <x:v>10월 15일 현재 보증금은 받지 못했고 점유와 주민등록을 유지합니다. 이사해야 한다면 어떤 순서로 진행해야 하나요? 사건 변화도 요약해 주세요.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75" hidden="0" customWidth="1"/>
    <x:col min="4" max="4" width="63" hidden="0" customWidth="1"/>
    <x:col min="5" max="5" width="68" hidden="0" customWidth="1"/>
    <x:col min="6" max="6" width="72" hidden="0" customWidth="1"/>
  </x:cols>
  <x:sheetData>
    <x:row r="1" ht="32" customHeight="1">
      <x:c r="A1" s="4" t="str">
        <x:v>단계</x:v>
      </x:c>
      <x:c r="B1" s="4" t="str">
        <x:v>시점</x:v>
      </x:c>
      <x:c r="C1" s="4" t="str">
        <x:v>정답: 확인 사실</x:v>
      </x:c>
      <x:c r="D1" s="4" t="str">
        <x:v>정답: 핵심 쟁점</x:v>
      </x:c>
      <x:c r="E1" s="4" t="str">
        <x:v>정답: 적절한 대응</x:v>
      </x:c>
      <x:c r="F1" s="4" t="str">
        <x:v>오답·금지 판단</x:v>
      </x:c>
    </x:row>
    <x:row r="2" ht="105" customHeight="1">
      <x:c r="A2" s="12" t="str">
        <x:v>S1</x:v>
      </x:c>
      <x:c r="B2" s="12" t="str">
        <x:v>2022-03-01</x:v>
      </x:c>
      <x:c r="C2" s="12" t="str">
        <x:v>2022-02-20 계약 / 3억원(계약금 3천만원·잔금 2억7천만원) / 2022-03-01~2024-02-29 / 2022-03-01 입주·전입·확정일자</x:v>
      </x:c>
      <x:c r="D2" s="12" t="str">
        <x:v>대항요건·확정일자 / 최초 계약 종료일</x:v>
      </x:c>
      <x:c r="E2" s="12" t="str">
        <x:v>증거 보관, 추가 등기 권리 확인</x:v>
      </x:c>
      <x:c r="F2" s="12" t="str">
        <x:v>미래의 갱신·해지·가압류·미반환 사실 언급 금지</x:v>
      </x:c>
    </x:row>
    <x:row r="3" ht="105" customHeight="1">
      <x:c r="A3" s="12" t="str">
        <x:v>S2</x:v>
      </x:c>
      <x:c r="B3" s="12" t="str">
        <x:v>2024-03-01</x:v>
      </x:c>
      <x:c r="C3" s="12" t="str">
        <x:v>2024-02-29 만료 / 별도 갱신거절 통지 없음 / 종전 조건 유지</x:v>
      </x:c>
      <x:c r="D3" s="12" t="str">
        <x:v>묵시적 갱신 성립 / 임차인 해지 통고와 3개월 규정</x:v>
      </x:c>
      <x:c r="E3" s="12" t="str">
        <x:v>해지 의사와 도달 증거 확보</x:v>
      </x:c>
      <x:c r="F3" s="12" t="str">
        <x:v>2026년 통보가 이미 이루어졌다고 판단 금지</x:v>
      </x:c>
    </x:row>
    <x:row r="4" ht="105" customHeight="1">
      <x:c r="A4" s="12" t="str">
        <x:v>S3</x:v>
      </x:c>
      <x:c r="B4" s="12" t="str">
        <x:v>2026-04-01</x:v>
      </x:c>
      <x:c r="C4" s="12" t="str">
        <x:v>2026-04-01 통보 / 2026-09-30 퇴거·반환 요청 / 도달 증거 확인</x:v>
      </x:c>
      <x:c r="D4" s="12" t="str">
        <x:v>해지 의사표시·도달 / 3개월 규정과 지정일 관계</x:v>
      </x:c>
      <x:c r="E4" s="12" t="str">
        <x:v>문자 원본·답장 보관 / 도달 불명확 시 보완</x:v>
      </x:c>
      <x:c r="F4" s="12" t="str">
        <x:v>발송 즉시 종료 또는 도달 무조건 확정 금지</x:v>
      </x:c>
    </x:row>
    <x:row r="5" ht="105" customHeight="1">
      <x:c r="A5" s="12" t="str">
        <x:v>S4</x:v>
      </x:c>
      <x:c r="B5" s="12" t="str">
        <x:v>2026-05-20</x:v>
      </x:c>
      <x:c r="C5" s="12" t="str">
        <x:v>새 세입자 보증금 의존 / 부족분 1년 후 제안</x:v>
      </x:c>
      <x:c r="D5" s="12" t="str">
        <x:v>분할합의 위험 / 반환기한 변경 효과</x:v>
      </x:c>
      <x:c r="E5" s="12" t="str">
        <x:v>무담보 유예 주의 / 금액·기한·담보 검토</x:v>
      </x:c>
      <x:c r="F5" s="12" t="str">
        <x:v>제안만으로 반환 확정 또는 무조건 수용 금지</x:v>
      </x:c>
    </x:row>
    <x:row r="6" ht="105" customHeight="1">
      <x:c r="A6" s="12" t="str">
        <x:v>S5</x:v>
      </x:c>
      <x:c r="B6" s="12" t="str">
        <x:v>2026-08-12</x:v>
      </x:c>
      <x:c r="C6" s="12" t="str">
        <x:v>은행 가압류 7,200만원 / 등기일 2026-08-12 / 기존 전입·확정일자</x:v>
      </x:c>
      <x:c r="D6" s="12" t="str">
        <x:v>임차인 권리와 가압류 선후 / 회수 위험</x:v>
      </x:c>
      <x:c r="E6" s="12" t="str">
        <x:v>최신 등기부 전체 확인 / 점유·전입 보전</x:v>
      </x:c>
      <x:c r="F6" s="12" t="str">
        <x:v>가압류만으로 전액 손실·권리열위 단정 금지</x:v>
      </x:c>
    </x:row>
    <x:row r="7" ht="105" customHeight="1">
      <x:c r="A7" s="12" t="str">
        <x:v>S6</x:v>
      </x:c>
      <x:c r="B7" s="12" t="str">
        <x:v>2026-09-18</x:v>
      </x:c>
      <x:c r="C7" s="12" t="str">
        <x:v>은행 7,200만원 / HUG 1억2천만원 / 등기 시점</x:v>
      </x:c>
      <x:c r="D7" s="12" t="str">
        <x:v>복수 가압류 권리 비교 / 회수 위험·불확실성</x:v>
      </x:c>
      <x:c r="E7" s="12" t="str">
        <x:v>최신 등기·반환 촉구 / 권리보전 준비</x:v>
      </x:c>
      <x:c r="F7" s="12" t="str">
        <x:v>HUG 자동 선순위 또는 회수액 보장 금지</x:v>
      </x:c>
    </x:row>
    <x:row r="8" ht="105" customHeight="1">
      <x:c r="A8" s="12" t="str">
        <x:v>S7</x:v>
      </x:c>
      <x:c r="B8" s="12" t="str">
        <x:v>2026-10-01</x:v>
      </x:c>
      <x:c r="C8" s="12" t="str">
        <x:v>2026-09-30 기한 경과 / 3억원 미반환 / 기존 가압류 유지</x:v>
      </x:c>
      <x:c r="D8" s="12" t="str">
        <x:v>계약 종료·반환채무 / 임차권등기 요건 / 회수절차</x:v>
      </x:c>
      <x:c r="E8" s="12" t="str">
        <x:v>점유·전입 유지 / 등기명령·반환청구 검토</x:v>
      </x:c>
      <x:c r="F8" s="12" t="str">
        <x:v>등기 완료 전 퇴거·전입 이전 권고 금지</x:v>
      </x:c>
    </x:row>
    <x:row r="9" ht="105" customHeight="1">
      <x:c r="A9" s="12" t="str">
        <x:v>S8</x:v>
      </x:c>
      <x:c r="B9" s="12" t="str">
        <x:v>2026-10-15</x:v>
      </x:c>
      <x:c r="C9" s="12" t="str">
        <x:v>2026-10-15 점유·전입 유지 / 보증금 미반환</x:v>
      </x:c>
      <x:c r="D9" s="12" t="str">
        <x:v>대항력 유지 / 신청과 등기 완료 구별</x:v>
      </x:c>
      <x:c r="E9" s="12" t="str">
        <x:v>임차권등기 실제 완료 확인 후 이사 / 권리변동 모니터링</x:v>
      </x:c>
      <x:c r="F9" s="12" t="str">
        <x:v>신청만으로 즉시 이사 가능 또는 전액 회수 보장 금지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7" hidden="0" customWidth="1"/>
    <x:col min="3" max="3" width="13" hidden="0" customWidth="1"/>
    <x:col min="4" max="4" width="29" hidden="0" customWidth="1"/>
    <x:col min="5" max="5" width="80" hidden="0" customWidth="1"/>
    <x:col min="6" max="6" width="14" hidden="0" customWidth="1"/>
    <x:col min="7" max="7" width="16" hidden="0" customWidth="1"/>
    <x:col min="8" max="8" width="65" hidden="0" customWidth="1"/>
    <x:col min="9" max="9" width="48" hidden="0" customWidth="1"/>
  </x:cols>
  <x:sheetData>
    <x:row r="1" ht="32" customHeight="1">
      <x:c r="A1" s="4" t="str">
        <x:v>단계</x:v>
      </x:c>
      <x:c r="B1" s="4" t="str">
        <x:v>시점</x:v>
      </x:c>
      <x:c r="C1" s="4" t="str">
        <x:v>분류</x:v>
      </x:c>
      <x:c r="D1" s="4" t="str">
        <x:v>평가 항목</x:v>
      </x:c>
      <x:c r="E1" s="4" t="str">
        <x:v>판정 기준</x:v>
      </x:c>
      <x:c r="F1" s="4" t="str">
        <x:v>점수(자동)</x:v>
      </x:c>
      <x:c r="G1" s="4" t="str">
        <x:v>판정(입력)</x:v>
      </x:c>
      <x:c r="H1" s="4" t="str">
        <x:v>근거·오류 메모</x:v>
      </x:c>
      <x:c r="I1" s="4" t="str">
        <x:v>상담 답변 파일/링크</x:v>
      </x:c>
    </x:row>
    <x:row r="2" ht="37" customHeight="1">
      <x:c r="A2" s="12" t="str">
        <x:v>S1</x:v>
      </x:c>
      <x:c r="B2" s="12" t="str">
        <x:v>2022-03-01</x:v>
      </x:c>
      <x:c r="C2" s="12" t="str">
        <x:v>K1</x:v>
      </x:c>
      <x:c r="D2" s="12" t="str">
        <x:v>핵심 사실 정확성</x:v>
      </x:c>
      <x:c r="E2" s="12" t="str">
        <x:v>그 시점에 등록된 증거의 날짜·금액·당사자·상태를 정확히 반영</x:v>
      </x:c>
      <x:c r="F2" s="12" t="str">
        <x:f>IF(G2="충족",1,IF(G2="부분",0.5,IF(G2="미충족",0,"")))</x:f>
      </x:c>
      <x:c r="G2" s="16" t="str">
        <x:v>미평가</x:v>
      </x:c>
      <x:c r="H2" s="12" t="str"/>
      <x:c r="I2" s="12" t="str"/>
    </x:row>
    <x:row r="3" ht="37" customHeight="1">
      <x:c r="A3" s="12" t="str">
        <x:v>S1</x:v>
      </x:c>
      <x:c r="B3" s="12" t="str">
        <x:v>2022-03-01</x:v>
      </x:c>
      <x:c r="C3" s="12" t="str">
        <x:v>K1</x:v>
      </x:c>
      <x:c r="D3" s="12" t="str">
        <x:v>핵심 쟁점 식별</x:v>
      </x:c>
      <x:c r="E3" s="12" t="str">
        <x:v>해당 시점 필수 쟁점을 누락 없이 도출</x:v>
      </x:c>
      <x:c r="F3" s="12" t="str">
        <x:f>IF(G3="충족",1,IF(G3="부분",0.5,IF(G3="미충족",0,"")))</x:f>
      </x:c>
      <x:c r="G3" s="16" t="str">
        <x:v>미평가</x:v>
      </x:c>
      <x:c r="H3" s="12" t="str"/>
      <x:c r="I3" s="12" t="str"/>
    </x:row>
    <x:row r="4" ht="37" customHeight="1">
      <x:c r="A4" s="12" t="str">
        <x:v>S1</x:v>
      </x:c>
      <x:c r="B4" s="12" t="str">
        <x:v>2022-03-01</x:v>
      </x:c>
      <x:c r="C4" s="12" t="str">
        <x:v>진단</x:v>
      </x:c>
      <x:c r="D4" s="12" t="str">
        <x:v>이전 맥락 유지</x:v>
      </x:c>
      <x:c r="E4" s="12" t="str">
        <x:v>이전 단계 확인 사실을 왜곡·삭제하지 않음</x:v>
      </x:c>
      <x:c r="F4" s="12" t="str">
        <x:f>IF(G4="충족",1,IF(G4="부분",0.5,IF(G4="미충족",0,"")))</x:f>
      </x:c>
      <x:c r="G4" s="16" t="str">
        <x:v>미평가</x:v>
      </x:c>
      <x:c r="H4" s="12" t="str"/>
      <x:c r="I4" s="12" t="str"/>
    </x:row>
    <x:row r="5" ht="37" customHeight="1">
      <x:c r="A5" s="12" t="str">
        <x:v>S1</x:v>
      </x:c>
      <x:c r="B5" s="12" t="str">
        <x:v>2022-03-01</x:v>
      </x:c>
      <x:c r="C5" s="12" t="str">
        <x:v>진단</x:v>
      </x:c>
      <x:c r="D5" s="12" t="str">
        <x:v>상황 변화에 따른 재판단</x:v>
      </x:c>
      <x:c r="E5" s="12" t="str">
        <x:v>새 증거로 유지·수정·철회할 판단을 구분</x:v>
      </x:c>
      <x:c r="F5" s="12" t="str">
        <x:f>IF(G5="충족",1,IF(G5="부분",0.5,IF(G5="미충족",0,"")))</x:f>
      </x:c>
      <x:c r="G5" s="16" t="str">
        <x:v>미평가</x:v>
      </x:c>
      <x:c r="H5" s="12" t="str"/>
      <x:c r="I5" s="12" t="str"/>
    </x:row>
    <x:row r="6" ht="37" customHeight="1">
      <x:c r="A6" s="12" t="str">
        <x:v>S1</x:v>
      </x:c>
      <x:c r="B6" s="12" t="str">
        <x:v>2022-03-01</x:v>
      </x:c>
      <x:c r="C6" s="12" t="str">
        <x:v>진단</x:v>
      </x:c>
      <x:c r="D6" s="12" t="str">
        <x:v>미래 사실·허위 사실 방지</x:v>
      </x:c>
      <x:c r="E6" s="12" t="str">
        <x:v>미등록 미래 사실 또는 무근거 사실을 확정하지 않음</x:v>
      </x:c>
      <x:c r="F6" s="12" t="str">
        <x:f>IF(G6="충족",1,IF(G6="부분",0.5,IF(G6="미충족",0,"")))</x:f>
      </x:c>
      <x:c r="G6" s="16" t="str">
        <x:v>미평가</x:v>
      </x:c>
      <x:c r="H6" s="12" t="str"/>
      <x:c r="I6" s="12" t="str"/>
    </x:row>
    <x:row r="7" ht="37" customHeight="1">
      <x:c r="A7" s="12" t="str">
        <x:v>S2</x:v>
      </x:c>
      <x:c r="B7" s="12" t="str">
        <x:v>2024-03-01</x:v>
      </x:c>
      <x:c r="C7" s="12" t="str">
        <x:v>K1</x:v>
      </x:c>
      <x:c r="D7" s="12" t="str">
        <x:v>핵심 사실 정확성</x:v>
      </x:c>
      <x:c r="E7" s="12" t="str">
        <x:v>그 시점에 등록된 증거의 날짜·금액·당사자·상태를 정확히 반영</x:v>
      </x:c>
      <x:c r="F7" s="12" t="str">
        <x:f>IF(G7="충족",1,IF(G7="부분",0.5,IF(G7="미충족",0,"")))</x:f>
      </x:c>
      <x:c r="G7" s="16" t="str">
        <x:v>미평가</x:v>
      </x:c>
      <x:c r="H7" s="12" t="str"/>
      <x:c r="I7" s="12" t="str"/>
    </x:row>
    <x:row r="8" ht="37" customHeight="1">
      <x:c r="A8" s="12" t="str">
        <x:v>S2</x:v>
      </x:c>
      <x:c r="B8" s="12" t="str">
        <x:v>2024-03-01</x:v>
      </x:c>
      <x:c r="C8" s="12" t="str">
        <x:v>K1</x:v>
      </x:c>
      <x:c r="D8" s="12" t="str">
        <x:v>핵심 쟁점 식별</x:v>
      </x:c>
      <x:c r="E8" s="12" t="str">
        <x:v>해당 시점 필수 쟁점을 누락 없이 도출</x:v>
      </x:c>
      <x:c r="F8" s="12" t="str">
        <x:f>IF(G8="충족",1,IF(G8="부분",0.5,IF(G8="미충족",0,"")))</x:f>
      </x:c>
      <x:c r="G8" s="16" t="str">
        <x:v>미평가</x:v>
      </x:c>
      <x:c r="H8" s="12" t="str"/>
      <x:c r="I8" s="12" t="str"/>
    </x:row>
    <x:row r="9" ht="37" customHeight="1">
      <x:c r="A9" s="12" t="str">
        <x:v>S2</x:v>
      </x:c>
      <x:c r="B9" s="12" t="str">
        <x:v>2024-03-01</x:v>
      </x:c>
      <x:c r="C9" s="12" t="str">
        <x:v>진단</x:v>
      </x:c>
      <x:c r="D9" s="12" t="str">
        <x:v>이전 맥락 유지</x:v>
      </x:c>
      <x:c r="E9" s="12" t="str">
        <x:v>이전 단계 확인 사실을 왜곡·삭제하지 않음</x:v>
      </x:c>
      <x:c r="F9" s="12" t="str">
        <x:f>IF(G9="충족",1,IF(G9="부분",0.5,IF(G9="미충족",0,"")))</x:f>
      </x:c>
      <x:c r="G9" s="16" t="str">
        <x:v>미평가</x:v>
      </x:c>
      <x:c r="H9" s="12" t="str"/>
      <x:c r="I9" s="12" t="str"/>
    </x:row>
    <x:row r="10" ht="37" customHeight="1">
      <x:c r="A10" s="12" t="str">
        <x:v>S2</x:v>
      </x:c>
      <x:c r="B10" s="12" t="str">
        <x:v>2024-03-01</x:v>
      </x:c>
      <x:c r="C10" s="12" t="str">
        <x:v>진단</x:v>
      </x:c>
      <x:c r="D10" s="12" t="str">
        <x:v>상황 변화에 따른 재판단</x:v>
      </x:c>
      <x:c r="E10" s="12" t="str">
        <x:v>새 증거로 유지·수정·철회할 판단을 구분</x:v>
      </x:c>
      <x:c r="F10" s="12" t="str">
        <x:f>IF(G10="충족",1,IF(G10="부분",0.5,IF(G10="미충족",0,"")))</x:f>
      </x:c>
      <x:c r="G10" s="16" t="str">
        <x:v>미평가</x:v>
      </x:c>
      <x:c r="H10" s="12" t="str"/>
      <x:c r="I10" s="12" t="str"/>
    </x:row>
    <x:row r="11" ht="37" customHeight="1">
      <x:c r="A11" s="12" t="str">
        <x:v>S2</x:v>
      </x:c>
      <x:c r="B11" s="12" t="str">
        <x:v>2024-03-01</x:v>
      </x:c>
      <x:c r="C11" s="12" t="str">
        <x:v>진단</x:v>
      </x:c>
      <x:c r="D11" s="12" t="str">
        <x:v>미래 사실·허위 사실 방지</x:v>
      </x:c>
      <x:c r="E11" s="12" t="str">
        <x:v>미등록 미래 사실 또는 무근거 사실을 확정하지 않음</x:v>
      </x:c>
      <x:c r="F11" s="12" t="str">
        <x:f>IF(G11="충족",1,IF(G11="부분",0.5,IF(G11="미충족",0,"")))</x:f>
      </x:c>
      <x:c r="G11" s="16" t="str">
        <x:v>미평가</x:v>
      </x:c>
      <x:c r="H11" s="12" t="str"/>
      <x:c r="I11" s="12" t="str"/>
    </x:row>
    <x:row r="12" ht="37" customHeight="1">
      <x:c r="A12" s="12" t="str">
        <x:v>S3</x:v>
      </x:c>
      <x:c r="B12" s="12" t="str">
        <x:v>2026-04-01</x:v>
      </x:c>
      <x:c r="C12" s="12" t="str">
        <x:v>K1</x:v>
      </x:c>
      <x:c r="D12" s="12" t="str">
        <x:v>핵심 사실 정확성</x:v>
      </x:c>
      <x:c r="E12" s="12" t="str">
        <x:v>그 시점에 등록된 증거의 날짜·금액·당사자·상태를 정확히 반영</x:v>
      </x:c>
      <x:c r="F12" s="12" t="str">
        <x:f>IF(G12="충족",1,IF(G12="부분",0.5,IF(G12="미충족",0,"")))</x:f>
      </x:c>
      <x:c r="G12" s="16" t="str">
        <x:v>미평가</x:v>
      </x:c>
      <x:c r="H12" s="12" t="str"/>
      <x:c r="I12" s="12" t="str"/>
    </x:row>
    <x:row r="13" ht="37" customHeight="1">
      <x:c r="A13" s="12" t="str">
        <x:v>S3</x:v>
      </x:c>
      <x:c r="B13" s="12" t="str">
        <x:v>2026-04-01</x:v>
      </x:c>
      <x:c r="C13" s="12" t="str">
        <x:v>K1</x:v>
      </x:c>
      <x:c r="D13" s="12" t="str">
        <x:v>핵심 쟁점 식별</x:v>
      </x:c>
      <x:c r="E13" s="12" t="str">
        <x:v>해당 시점 필수 쟁점을 누락 없이 도출</x:v>
      </x:c>
      <x:c r="F13" s="12" t="str">
        <x:f>IF(G13="충족",1,IF(G13="부분",0.5,IF(G13="미충족",0,"")))</x:f>
      </x:c>
      <x:c r="G13" s="16" t="str">
        <x:v>미평가</x:v>
      </x:c>
      <x:c r="H13" s="12" t="str"/>
      <x:c r="I13" s="12" t="str"/>
    </x:row>
    <x:row r="14" ht="37" customHeight="1">
      <x:c r="A14" s="12" t="str">
        <x:v>S3</x:v>
      </x:c>
      <x:c r="B14" s="12" t="str">
        <x:v>2026-04-01</x:v>
      </x:c>
      <x:c r="C14" s="12" t="str">
        <x:v>진단</x:v>
      </x:c>
      <x:c r="D14" s="12" t="str">
        <x:v>이전 맥락 유지</x:v>
      </x:c>
      <x:c r="E14" s="12" t="str">
        <x:v>이전 단계 확인 사실을 왜곡·삭제하지 않음</x:v>
      </x:c>
      <x:c r="F14" s="12" t="str">
        <x:f>IF(G14="충족",1,IF(G14="부분",0.5,IF(G14="미충족",0,"")))</x:f>
      </x:c>
      <x:c r="G14" s="16" t="str">
        <x:v>미평가</x:v>
      </x:c>
      <x:c r="H14" s="12" t="str"/>
      <x:c r="I14" s="12" t="str"/>
    </x:row>
    <x:row r="15" ht="37" customHeight="1">
      <x:c r="A15" s="12" t="str">
        <x:v>S3</x:v>
      </x:c>
      <x:c r="B15" s="12" t="str">
        <x:v>2026-04-01</x:v>
      </x:c>
      <x:c r="C15" s="12" t="str">
        <x:v>진단</x:v>
      </x:c>
      <x:c r="D15" s="12" t="str">
        <x:v>상황 변화에 따른 재판단</x:v>
      </x:c>
      <x:c r="E15" s="12" t="str">
        <x:v>새 증거로 유지·수정·철회할 판단을 구분</x:v>
      </x:c>
      <x:c r="F15" s="12" t="str">
        <x:f>IF(G15="충족",1,IF(G15="부분",0.5,IF(G15="미충족",0,"")))</x:f>
      </x:c>
      <x:c r="G15" s="16" t="str">
        <x:v>미평가</x:v>
      </x:c>
      <x:c r="H15" s="12" t="str"/>
      <x:c r="I15" s="12" t="str"/>
    </x:row>
    <x:row r="16" ht="37" customHeight="1">
      <x:c r="A16" s="12" t="str">
        <x:v>S3</x:v>
      </x:c>
      <x:c r="B16" s="12" t="str">
        <x:v>2026-04-01</x:v>
      </x:c>
      <x:c r="C16" s="12" t="str">
        <x:v>진단</x:v>
      </x:c>
      <x:c r="D16" s="12" t="str">
        <x:v>미래 사실·허위 사실 방지</x:v>
      </x:c>
      <x:c r="E16" s="12" t="str">
        <x:v>미등록 미래 사실 또는 무근거 사실을 확정하지 않음</x:v>
      </x:c>
      <x:c r="F16" s="12" t="str">
        <x:f>IF(G16="충족",1,IF(G16="부분",0.5,IF(G16="미충족",0,"")))</x:f>
      </x:c>
      <x:c r="G16" s="16" t="str">
        <x:v>미평가</x:v>
      </x:c>
      <x:c r="H16" s="12" t="str"/>
      <x:c r="I16" s="12" t="str"/>
    </x:row>
    <x:row r="17" ht="37" customHeight="1">
      <x:c r="A17" s="12" t="str">
        <x:v>S4</x:v>
      </x:c>
      <x:c r="B17" s="12" t="str">
        <x:v>2026-05-20</x:v>
      </x:c>
      <x:c r="C17" s="12" t="str">
        <x:v>K1</x:v>
      </x:c>
      <x:c r="D17" s="12" t="str">
        <x:v>핵심 사실 정확성</x:v>
      </x:c>
      <x:c r="E17" s="12" t="str">
        <x:v>그 시점에 등록된 증거의 날짜·금액·당사자·상태를 정확히 반영</x:v>
      </x:c>
      <x:c r="F17" s="12" t="str">
        <x:f>IF(G17="충족",1,IF(G17="부분",0.5,IF(G17="미충족",0,"")))</x:f>
      </x:c>
      <x:c r="G17" s="16" t="str">
        <x:v>미평가</x:v>
      </x:c>
      <x:c r="H17" s="12" t="str"/>
      <x:c r="I17" s="12" t="str"/>
    </x:row>
    <x:row r="18" ht="37" customHeight="1">
      <x:c r="A18" s="12" t="str">
        <x:v>S4</x:v>
      </x:c>
      <x:c r="B18" s="12" t="str">
        <x:v>2026-05-20</x:v>
      </x:c>
      <x:c r="C18" s="12" t="str">
        <x:v>K1</x:v>
      </x:c>
      <x:c r="D18" s="12" t="str">
        <x:v>핵심 쟁점 식별</x:v>
      </x:c>
      <x:c r="E18" s="12" t="str">
        <x:v>해당 시점 필수 쟁점을 누락 없이 도출</x:v>
      </x:c>
      <x:c r="F18" s="12" t="str">
        <x:f>IF(G18="충족",1,IF(G18="부분",0.5,IF(G18="미충족",0,"")))</x:f>
      </x:c>
      <x:c r="G18" s="16" t="str">
        <x:v>미평가</x:v>
      </x:c>
      <x:c r="H18" s="12" t="str"/>
      <x:c r="I18" s="12" t="str"/>
    </x:row>
    <x:row r="19" ht="37" customHeight="1">
      <x:c r="A19" s="12" t="str">
        <x:v>S4</x:v>
      </x:c>
      <x:c r="B19" s="12" t="str">
        <x:v>2026-05-20</x:v>
      </x:c>
      <x:c r="C19" s="12" t="str">
        <x:v>진단</x:v>
      </x:c>
      <x:c r="D19" s="12" t="str">
        <x:v>이전 맥락 유지</x:v>
      </x:c>
      <x:c r="E19" s="12" t="str">
        <x:v>이전 단계 확인 사실을 왜곡·삭제하지 않음</x:v>
      </x:c>
      <x:c r="F19" s="12" t="str">
        <x:f>IF(G19="충족",1,IF(G19="부분",0.5,IF(G19="미충족",0,"")))</x:f>
      </x:c>
      <x:c r="G19" s="16" t="str">
        <x:v>미평가</x:v>
      </x:c>
      <x:c r="H19" s="12" t="str"/>
      <x:c r="I19" s="12" t="str"/>
    </x:row>
    <x:row r="20" ht="37" customHeight="1">
      <x:c r="A20" s="12" t="str">
        <x:v>S4</x:v>
      </x:c>
      <x:c r="B20" s="12" t="str">
        <x:v>2026-05-20</x:v>
      </x:c>
      <x:c r="C20" s="12" t="str">
        <x:v>진단</x:v>
      </x:c>
      <x:c r="D20" s="12" t="str">
        <x:v>상황 변화에 따른 재판단</x:v>
      </x:c>
      <x:c r="E20" s="12" t="str">
        <x:v>새 증거로 유지·수정·철회할 판단을 구분</x:v>
      </x:c>
      <x:c r="F20" s="12" t="str">
        <x:f>IF(G20="충족",1,IF(G20="부분",0.5,IF(G20="미충족",0,"")))</x:f>
      </x:c>
      <x:c r="G20" s="16" t="str">
        <x:v>미평가</x:v>
      </x:c>
      <x:c r="H20" s="12" t="str"/>
      <x:c r="I20" s="12" t="str"/>
    </x:row>
    <x:row r="21" ht="37" customHeight="1">
      <x:c r="A21" s="12" t="str">
        <x:v>S4</x:v>
      </x:c>
      <x:c r="B21" s="12" t="str">
        <x:v>2026-05-20</x:v>
      </x:c>
      <x:c r="C21" s="12" t="str">
        <x:v>진단</x:v>
      </x:c>
      <x:c r="D21" s="12" t="str">
        <x:v>미래 사실·허위 사실 방지</x:v>
      </x:c>
      <x:c r="E21" s="12" t="str">
        <x:v>미등록 미래 사실 또는 무근거 사실을 확정하지 않음</x:v>
      </x:c>
      <x:c r="F21" s="12" t="str">
        <x:f>IF(G21="충족",1,IF(G21="부분",0.5,IF(G21="미충족",0,"")))</x:f>
      </x:c>
      <x:c r="G21" s="16" t="str">
        <x:v>미평가</x:v>
      </x:c>
      <x:c r="H21" s="12" t="str"/>
      <x:c r="I21" s="12" t="str"/>
    </x:row>
    <x:row r="22" ht="37" customHeight="1">
      <x:c r="A22" s="12" t="str">
        <x:v>S5</x:v>
      </x:c>
      <x:c r="B22" s="12" t="str">
        <x:v>2026-08-12</x:v>
      </x:c>
      <x:c r="C22" s="12" t="str">
        <x:v>K1</x:v>
      </x:c>
      <x:c r="D22" s="12" t="str">
        <x:v>핵심 사실 정확성</x:v>
      </x:c>
      <x:c r="E22" s="12" t="str">
        <x:v>그 시점에 등록된 증거의 날짜·금액·당사자·상태를 정확히 반영</x:v>
      </x:c>
      <x:c r="F22" s="12" t="str">
        <x:f>IF(G22="충족",1,IF(G22="부분",0.5,IF(G22="미충족",0,"")))</x:f>
      </x:c>
      <x:c r="G22" s="16" t="str">
        <x:v>미평가</x:v>
      </x:c>
      <x:c r="H22" s="12" t="str"/>
      <x:c r="I22" s="12" t="str"/>
    </x:row>
    <x:row r="23" ht="37" customHeight="1">
      <x:c r="A23" s="12" t="str">
        <x:v>S5</x:v>
      </x:c>
      <x:c r="B23" s="12" t="str">
        <x:v>2026-08-12</x:v>
      </x:c>
      <x:c r="C23" s="12" t="str">
        <x:v>K1</x:v>
      </x:c>
      <x:c r="D23" s="12" t="str">
        <x:v>핵심 쟁점 식별</x:v>
      </x:c>
      <x:c r="E23" s="12" t="str">
        <x:v>해당 시점 필수 쟁점을 누락 없이 도출</x:v>
      </x:c>
      <x:c r="F23" s="12" t="str">
        <x:f>IF(G23="충족",1,IF(G23="부분",0.5,IF(G23="미충족",0,"")))</x:f>
      </x:c>
      <x:c r="G23" s="16" t="str">
        <x:v>미평가</x:v>
      </x:c>
      <x:c r="H23" s="12" t="str"/>
      <x:c r="I23" s="12" t="str"/>
    </x:row>
    <x:row r="24" ht="37" customHeight="1">
      <x:c r="A24" s="12" t="str">
        <x:v>S5</x:v>
      </x:c>
      <x:c r="B24" s="12" t="str">
        <x:v>2026-08-12</x:v>
      </x:c>
      <x:c r="C24" s="12" t="str">
        <x:v>진단</x:v>
      </x:c>
      <x:c r="D24" s="12" t="str">
        <x:v>이전 맥락 유지</x:v>
      </x:c>
      <x:c r="E24" s="12" t="str">
        <x:v>이전 단계 확인 사실을 왜곡·삭제하지 않음</x:v>
      </x:c>
      <x:c r="F24" s="12" t="str">
        <x:f>IF(G24="충족",1,IF(G24="부분",0.5,IF(G24="미충족",0,"")))</x:f>
      </x:c>
      <x:c r="G24" s="16" t="str">
        <x:v>미평가</x:v>
      </x:c>
      <x:c r="H24" s="12" t="str"/>
      <x:c r="I24" s="12" t="str"/>
    </x:row>
    <x:row r="25" ht="37" customHeight="1">
      <x:c r="A25" s="12" t="str">
        <x:v>S5</x:v>
      </x:c>
      <x:c r="B25" s="12" t="str">
        <x:v>2026-08-12</x:v>
      </x:c>
      <x:c r="C25" s="12" t="str">
        <x:v>진단</x:v>
      </x:c>
      <x:c r="D25" s="12" t="str">
        <x:v>상황 변화에 따른 재판단</x:v>
      </x:c>
      <x:c r="E25" s="12" t="str">
        <x:v>새 증거로 유지·수정·철회할 판단을 구분</x:v>
      </x:c>
      <x:c r="F25" s="12" t="str">
        <x:f>IF(G25="충족",1,IF(G25="부분",0.5,IF(G25="미충족",0,"")))</x:f>
      </x:c>
      <x:c r="G25" s="16" t="str">
        <x:v>미평가</x:v>
      </x:c>
      <x:c r="H25" s="12" t="str"/>
      <x:c r="I25" s="12" t="str"/>
    </x:row>
    <x:row r="26" ht="37" customHeight="1">
      <x:c r="A26" s="12" t="str">
        <x:v>S5</x:v>
      </x:c>
      <x:c r="B26" s="12" t="str">
        <x:v>2026-08-12</x:v>
      </x:c>
      <x:c r="C26" s="12" t="str">
        <x:v>진단</x:v>
      </x:c>
      <x:c r="D26" s="12" t="str">
        <x:v>미래 사실·허위 사실 방지</x:v>
      </x:c>
      <x:c r="E26" s="12" t="str">
        <x:v>미등록 미래 사실 또는 무근거 사실을 확정하지 않음</x:v>
      </x:c>
      <x:c r="F26" s="12" t="str">
        <x:f>IF(G26="충족",1,IF(G26="부분",0.5,IF(G26="미충족",0,"")))</x:f>
      </x:c>
      <x:c r="G26" s="16" t="str">
        <x:v>미평가</x:v>
      </x:c>
      <x:c r="H26" s="12" t="str"/>
      <x:c r="I26" s="12" t="str"/>
    </x:row>
    <x:row r="27" ht="37" customHeight="1">
      <x:c r="A27" s="12" t="str">
        <x:v>S6</x:v>
      </x:c>
      <x:c r="B27" s="12" t="str">
        <x:v>2026-09-18</x:v>
      </x:c>
      <x:c r="C27" s="12" t="str">
        <x:v>K1</x:v>
      </x:c>
      <x:c r="D27" s="12" t="str">
        <x:v>핵심 사실 정확성</x:v>
      </x:c>
      <x:c r="E27" s="12" t="str">
        <x:v>그 시점에 등록된 증거의 날짜·금액·당사자·상태를 정확히 반영</x:v>
      </x:c>
      <x:c r="F27" s="12" t="str">
        <x:f>IF(G27="충족",1,IF(G27="부분",0.5,IF(G27="미충족",0,"")))</x:f>
      </x:c>
      <x:c r="G27" s="16" t="str">
        <x:v>미평가</x:v>
      </x:c>
      <x:c r="H27" s="12" t="str"/>
      <x:c r="I27" s="12" t="str"/>
    </x:row>
    <x:row r="28" ht="37" customHeight="1">
      <x:c r="A28" s="12" t="str">
        <x:v>S6</x:v>
      </x:c>
      <x:c r="B28" s="12" t="str">
        <x:v>2026-09-18</x:v>
      </x:c>
      <x:c r="C28" s="12" t="str">
        <x:v>K1</x:v>
      </x:c>
      <x:c r="D28" s="12" t="str">
        <x:v>핵심 쟁점 식별</x:v>
      </x:c>
      <x:c r="E28" s="12" t="str">
        <x:v>해당 시점 필수 쟁점을 누락 없이 도출</x:v>
      </x:c>
      <x:c r="F28" s="12" t="str">
        <x:f>IF(G28="충족",1,IF(G28="부분",0.5,IF(G28="미충족",0,"")))</x:f>
      </x:c>
      <x:c r="G28" s="16" t="str">
        <x:v>미평가</x:v>
      </x:c>
      <x:c r="H28" s="12" t="str"/>
      <x:c r="I28" s="12" t="str"/>
    </x:row>
    <x:row r="29" ht="37" customHeight="1">
      <x:c r="A29" s="12" t="str">
        <x:v>S6</x:v>
      </x:c>
      <x:c r="B29" s="12" t="str">
        <x:v>2026-09-18</x:v>
      </x:c>
      <x:c r="C29" s="12" t="str">
        <x:v>진단</x:v>
      </x:c>
      <x:c r="D29" s="12" t="str">
        <x:v>이전 맥락 유지</x:v>
      </x:c>
      <x:c r="E29" s="12" t="str">
        <x:v>이전 단계 확인 사실을 왜곡·삭제하지 않음</x:v>
      </x:c>
      <x:c r="F29" s="12" t="str">
        <x:f>IF(G29="충족",1,IF(G29="부분",0.5,IF(G29="미충족",0,"")))</x:f>
      </x:c>
      <x:c r="G29" s="16" t="str">
        <x:v>미평가</x:v>
      </x:c>
      <x:c r="H29" s="12" t="str"/>
      <x:c r="I29" s="12" t="str"/>
    </x:row>
    <x:row r="30" ht="37" customHeight="1">
      <x:c r="A30" s="12" t="str">
        <x:v>S6</x:v>
      </x:c>
      <x:c r="B30" s="12" t="str">
        <x:v>2026-09-18</x:v>
      </x:c>
      <x:c r="C30" s="12" t="str">
        <x:v>진단</x:v>
      </x:c>
      <x:c r="D30" s="12" t="str">
        <x:v>상황 변화에 따른 재판단</x:v>
      </x:c>
      <x:c r="E30" s="12" t="str">
        <x:v>새 증거로 유지·수정·철회할 판단을 구분</x:v>
      </x:c>
      <x:c r="F30" s="12" t="str">
        <x:f>IF(G30="충족",1,IF(G30="부분",0.5,IF(G30="미충족",0,"")))</x:f>
      </x:c>
      <x:c r="G30" s="16" t="str">
        <x:v>미평가</x:v>
      </x:c>
      <x:c r="H30" s="12" t="str"/>
      <x:c r="I30" s="12" t="str"/>
    </x:row>
    <x:row r="31" ht="37" customHeight="1">
      <x:c r="A31" s="12" t="str">
        <x:v>S6</x:v>
      </x:c>
      <x:c r="B31" s="12" t="str">
        <x:v>2026-09-18</x:v>
      </x:c>
      <x:c r="C31" s="12" t="str">
        <x:v>진단</x:v>
      </x:c>
      <x:c r="D31" s="12" t="str">
        <x:v>미래 사실·허위 사실 방지</x:v>
      </x:c>
      <x:c r="E31" s="12" t="str">
        <x:v>미등록 미래 사실 또는 무근거 사실을 확정하지 않음</x:v>
      </x:c>
      <x:c r="F31" s="12" t="str">
        <x:f>IF(G31="충족",1,IF(G31="부분",0.5,IF(G31="미충족",0,"")))</x:f>
      </x:c>
      <x:c r="G31" s="16" t="str">
        <x:v>미평가</x:v>
      </x:c>
      <x:c r="H31" s="12" t="str"/>
      <x:c r="I31" s="12" t="str"/>
    </x:row>
    <x:row r="32" ht="37" customHeight="1">
      <x:c r="A32" s="12" t="str">
        <x:v>S7</x:v>
      </x:c>
      <x:c r="B32" s="12" t="str">
        <x:v>2026-10-01</x:v>
      </x:c>
      <x:c r="C32" s="12" t="str">
        <x:v>K1</x:v>
      </x:c>
      <x:c r="D32" s="12" t="str">
        <x:v>핵심 사실 정확성</x:v>
      </x:c>
      <x:c r="E32" s="12" t="str">
        <x:v>그 시점에 등록된 증거의 날짜·금액·당사자·상태를 정확히 반영</x:v>
      </x:c>
      <x:c r="F32" s="12" t="str">
        <x:f>IF(G32="충족",1,IF(G32="부분",0.5,IF(G32="미충족",0,"")))</x:f>
      </x:c>
      <x:c r="G32" s="16" t="str">
        <x:v>미평가</x:v>
      </x:c>
      <x:c r="H32" s="12" t="str"/>
      <x:c r="I32" s="12" t="str"/>
    </x:row>
    <x:row r="33" ht="37" customHeight="1">
      <x:c r="A33" s="12" t="str">
        <x:v>S7</x:v>
      </x:c>
      <x:c r="B33" s="12" t="str">
        <x:v>2026-10-01</x:v>
      </x:c>
      <x:c r="C33" s="12" t="str">
        <x:v>K1</x:v>
      </x:c>
      <x:c r="D33" s="12" t="str">
        <x:v>핵심 쟁점 식별</x:v>
      </x:c>
      <x:c r="E33" s="12" t="str">
        <x:v>해당 시점 필수 쟁점을 누락 없이 도출</x:v>
      </x:c>
      <x:c r="F33" s="12" t="str">
        <x:f>IF(G33="충족",1,IF(G33="부분",0.5,IF(G33="미충족",0,"")))</x:f>
      </x:c>
      <x:c r="G33" s="16" t="str">
        <x:v>미평가</x:v>
      </x:c>
      <x:c r="H33" s="12" t="str"/>
      <x:c r="I33" s="12" t="str"/>
    </x:row>
    <x:row r="34" ht="37" customHeight="1">
      <x:c r="A34" s="12" t="str">
        <x:v>S7</x:v>
      </x:c>
      <x:c r="B34" s="12" t="str">
        <x:v>2026-10-01</x:v>
      </x:c>
      <x:c r="C34" s="12" t="str">
        <x:v>진단</x:v>
      </x:c>
      <x:c r="D34" s="12" t="str">
        <x:v>이전 맥락 유지</x:v>
      </x:c>
      <x:c r="E34" s="12" t="str">
        <x:v>이전 단계 확인 사실을 왜곡·삭제하지 않음</x:v>
      </x:c>
      <x:c r="F34" s="12" t="str">
        <x:f>IF(G34="충족",1,IF(G34="부분",0.5,IF(G34="미충족",0,"")))</x:f>
      </x:c>
      <x:c r="G34" s="16" t="str">
        <x:v>미평가</x:v>
      </x:c>
      <x:c r="H34" s="12" t="str"/>
      <x:c r="I34" s="12" t="str"/>
    </x:row>
    <x:row r="35" ht="37" customHeight="1">
      <x:c r="A35" s="12" t="str">
        <x:v>S7</x:v>
      </x:c>
      <x:c r="B35" s="12" t="str">
        <x:v>2026-10-01</x:v>
      </x:c>
      <x:c r="C35" s="12" t="str">
        <x:v>진단</x:v>
      </x:c>
      <x:c r="D35" s="12" t="str">
        <x:v>상황 변화에 따른 재판단</x:v>
      </x:c>
      <x:c r="E35" s="12" t="str">
        <x:v>새 증거로 유지·수정·철회할 판단을 구분</x:v>
      </x:c>
      <x:c r="F35" s="12" t="str">
        <x:f>IF(G35="충족",1,IF(G35="부분",0.5,IF(G35="미충족",0,"")))</x:f>
      </x:c>
      <x:c r="G35" s="16" t="str">
        <x:v>미평가</x:v>
      </x:c>
      <x:c r="H35" s="12" t="str"/>
      <x:c r="I35" s="12" t="str"/>
    </x:row>
    <x:row r="36" ht="37" customHeight="1">
      <x:c r="A36" s="12" t="str">
        <x:v>S7</x:v>
      </x:c>
      <x:c r="B36" s="12" t="str">
        <x:v>2026-10-01</x:v>
      </x:c>
      <x:c r="C36" s="12" t="str">
        <x:v>진단</x:v>
      </x:c>
      <x:c r="D36" s="12" t="str">
        <x:v>미래 사실·허위 사실 방지</x:v>
      </x:c>
      <x:c r="E36" s="12" t="str">
        <x:v>미등록 미래 사실 또는 무근거 사실을 확정하지 않음</x:v>
      </x:c>
      <x:c r="F36" s="12" t="str">
        <x:f>IF(G36="충족",1,IF(G36="부분",0.5,IF(G36="미충족",0,"")))</x:f>
      </x:c>
      <x:c r="G36" s="16" t="str">
        <x:v>미평가</x:v>
      </x:c>
      <x:c r="H36" s="12" t="str"/>
      <x:c r="I36" s="12" t="str"/>
    </x:row>
    <x:row r="37" ht="37" customHeight="1">
      <x:c r="A37" s="12" t="str">
        <x:v>S8</x:v>
      </x:c>
      <x:c r="B37" s="12" t="str">
        <x:v>2026-10-15</x:v>
      </x:c>
      <x:c r="C37" s="12" t="str">
        <x:v>K1</x:v>
      </x:c>
      <x:c r="D37" s="12" t="str">
        <x:v>핵심 사실 정확성</x:v>
      </x:c>
      <x:c r="E37" s="12" t="str">
        <x:v>그 시점에 등록된 증거의 날짜·금액·당사자·상태를 정확히 반영</x:v>
      </x:c>
      <x:c r="F37" s="12" t="str">
        <x:f>IF(G37="충족",1,IF(G37="부분",0.5,IF(G37="미충족",0,"")))</x:f>
      </x:c>
      <x:c r="G37" s="16" t="str">
        <x:v>미평가</x:v>
      </x:c>
      <x:c r="H37" s="12" t="str"/>
      <x:c r="I37" s="12" t="str"/>
    </x:row>
    <x:row r="38" ht="37" customHeight="1">
      <x:c r="A38" s="12" t="str">
        <x:v>S8</x:v>
      </x:c>
      <x:c r="B38" s="12" t="str">
        <x:v>2026-10-15</x:v>
      </x:c>
      <x:c r="C38" s="12" t="str">
        <x:v>K1</x:v>
      </x:c>
      <x:c r="D38" s="12" t="str">
        <x:v>핵심 쟁점 식별</x:v>
      </x:c>
      <x:c r="E38" s="12" t="str">
        <x:v>해당 시점 필수 쟁점을 누락 없이 도출</x:v>
      </x:c>
      <x:c r="F38" s="12" t="str">
        <x:f>IF(G38="충족",1,IF(G38="부분",0.5,IF(G38="미충족",0,"")))</x:f>
      </x:c>
      <x:c r="G38" s="16" t="str">
        <x:v>미평가</x:v>
      </x:c>
      <x:c r="H38" s="12" t="str"/>
      <x:c r="I38" s="12" t="str"/>
    </x:row>
    <x:row r="39" ht="37" customHeight="1">
      <x:c r="A39" s="12" t="str">
        <x:v>S8</x:v>
      </x:c>
      <x:c r="B39" s="12" t="str">
        <x:v>2026-10-15</x:v>
      </x:c>
      <x:c r="C39" s="12" t="str">
        <x:v>진단</x:v>
      </x:c>
      <x:c r="D39" s="12" t="str">
        <x:v>이전 맥락 유지</x:v>
      </x:c>
      <x:c r="E39" s="12" t="str">
        <x:v>이전 단계 확인 사실을 왜곡·삭제하지 않음</x:v>
      </x:c>
      <x:c r="F39" s="12" t="str">
        <x:f>IF(G39="충족",1,IF(G39="부분",0.5,IF(G39="미충족",0,"")))</x:f>
      </x:c>
      <x:c r="G39" s="16" t="str">
        <x:v>미평가</x:v>
      </x:c>
      <x:c r="H39" s="12" t="str"/>
      <x:c r="I39" s="12" t="str"/>
    </x:row>
    <x:row r="40" ht="37" customHeight="1">
      <x:c r="A40" s="12" t="str">
        <x:v>S8</x:v>
      </x:c>
      <x:c r="B40" s="12" t="str">
        <x:v>2026-10-15</x:v>
      </x:c>
      <x:c r="C40" s="12" t="str">
        <x:v>진단</x:v>
      </x:c>
      <x:c r="D40" s="12" t="str">
        <x:v>상황 변화에 따른 재판단</x:v>
      </x:c>
      <x:c r="E40" s="12" t="str">
        <x:v>새 증거로 유지·수정·철회할 판단을 구분</x:v>
      </x:c>
      <x:c r="F40" s="12" t="str">
        <x:f>IF(G40="충족",1,IF(G40="부분",0.5,IF(G40="미충족",0,"")))</x:f>
      </x:c>
      <x:c r="G40" s="16" t="str">
        <x:v>미평가</x:v>
      </x:c>
      <x:c r="H40" s="12" t="str"/>
      <x:c r="I40" s="12" t="str"/>
    </x:row>
    <x:row r="41" ht="37" customHeight="1">
      <x:c r="A41" s="12" t="str">
        <x:v>S8</x:v>
      </x:c>
      <x:c r="B41" s="12" t="str">
        <x:v>2026-10-15</x:v>
      </x:c>
      <x:c r="C41" s="12" t="str">
        <x:v>진단</x:v>
      </x:c>
      <x:c r="D41" s="12" t="str">
        <x:v>미래 사실·허위 사실 방지</x:v>
      </x:c>
      <x:c r="E41" s="12" t="str">
        <x:v>미등록 미래 사실 또는 무근거 사실을 확정하지 않음</x:v>
      </x:c>
      <x:c r="F41" s="12" t="str">
        <x:f>IF(G41="충족",1,IF(G41="부분",0.5,IF(G41="미충족",0,"")))</x:f>
      </x:c>
      <x:c r="G41" s="16" t="str">
        <x:v>미평가</x:v>
      </x:c>
      <x:c r="H41" s="12" t="str"/>
      <x:c r="I41" s="12" t="str"/>
    </x:row>
  </x:sheetData>
  <x:dataValidations count="1">
    <x:dataValidation type="list" sqref="G2:G41">
      <x:formula1>"미평가,충족,부분,미충족"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25" hidden="0" customWidth="1"/>
    <x:col min="3" max="3" width="22" hidden="0" customWidth="1"/>
    <x:col min="4" max="4" width="34" hidden="0" customWidth="1"/>
  </x:cols>
  <x:sheetData>
    <x:row r="1" ht="32" customHeight="1">
      <x:c r="A1" s="4" t="str">
        <x:v>SC-001 단계별 KPI 측정 결과</x:v>
      </x:c>
      <x:c r="B1" s="4" t="str">
        <x:v>평가 수</x:v>
      </x:c>
      <x:c r="C1" s="4" t="str">
        <x:v>점수 합계</x:v>
      </x:c>
      <x:c r="D1" s="4" t="str">
        <x:v>정확도 / 판정</x:v>
      </x:c>
    </x:row>
    <x:row r="2" ht="30" customHeight="1">
      <x:c r="A2" t="str">
        <x:v>K1 사건 사실·쟁점 분석 (목표 90%)</x:v>
      </x:c>
      <x:c r="B2" t="n">
        <x:f>COUNTIFS(채점입력!C2:C41,"K1",채점입력!G2:G41,"&lt;&gt;미평가")</x:f>
        <x:v>0</x:v>
      </x:c>
      <x:c r="C2" t="n">
        <x:f>SUMIF(채점입력!C2:C41,"K1",채점입력!F2:F41)</x:f>
        <x:v>0</x:v>
      </x:c>
      <x:c r="D2" t="str">
        <x:f>IF(B2&lt;16,"측정 중",IF(C2/16&gt;=0.9,"달성 "&amp;TEXT(C2/16,"0.0%"),"미달 "&amp;TEXT(C2/16,"0.0%")))</x:f>
        <x:v>측정 중</x:v>
      </x:c>
    </x:row>
    <x:row r="3" ht="30" customHeight="1">
      <x:c r="A3" t="str">
        <x:v>동적 사건 대응 진단 (보조)</x:v>
      </x:c>
      <x:c r="B3" t="n">
        <x:f>COUNTIFS(채점입력!C2:C41,"진단",채점입력!G2:G41,"&lt;&gt;미평가")</x:f>
        <x:v>0</x:v>
      </x:c>
      <x:c r="C3" t="n">
        <x:f>SUMIF(채점입력!C2:C41,"진단",채점입력!F2:F41)</x:f>
        <x:v>0</x:v>
      </x:c>
      <x:c r="D3" t="str">
        <x:f>IF(B3&lt;24,"측정 중",TEXT(C3/24,"0.0%"))</x:f>
        <x:v>측정 중</x:v>
      </x:c>
    </x:row>
    <x:row r="4" ht="30" customHeight="1">
      <x:c r="A4" t="str">
        <x:v>전체 40항목 진단 (보조)</x:v>
      </x:c>
      <x:c r="B4" t="n">
        <x:f>B2+B3</x:f>
        <x:v>0</x:v>
      </x:c>
      <x:c r="C4" t="n">
        <x:f>C2+C3</x:f>
        <x:v>0</x:v>
      </x:c>
      <x:c r="D4" t="str">
        <x:f>IF(B4&lt;40,"측정 중",TEXT(C4/40,"0.0%"))</x:f>
        <x:v>측정 중</x:v>
      </x:c>
    </x:row>
    <x:row r="5" ht="30" customHeight="1">
      <x:c r="A5" t="str">
        <x:v>완료된 평가 항목</x:v>
      </x:c>
      <x:c r="B5" t="n">
        <x:f>B4</x:f>
        <x:v>0</x:v>
      </x:c>
    </x:row>
    <x:row r="6" ht="30" customHeight="1"/>
    <x:row r="7" ht="30" customHeight="1"/>
    <x:row r="8" ht="30" customHeight="1">
      <x:c r="A8" s="4" t="str">
        <x:v>단계</x:v>
      </x:c>
      <x:c r="B8" s="4" t="str">
        <x:v>채점 완료</x:v>
      </x:c>
      <x:c r="C8" s="4" t="str">
        <x:v>총점 / 5</x:v>
      </x:c>
      <x:c r="D8" s="4" t="str">
        <x:v>단계별 점수</x:v>
      </x:c>
    </x:row>
    <x:row r="9" ht="30" customHeight="1">
      <x:c r="A9" t="str">
        <x:v>S1 계약·입주</x:v>
      </x:c>
      <x:c r="B9" t="n">
        <x:f>COUNTIFS(채점입력!A2:A41,"S1",채점입력!G2:G41,"&lt;&gt;미평가")</x:f>
        <x:v>0</x:v>
      </x:c>
      <x:c r="C9" t="n">
        <x:f>SUMIF(채점입력!A2:A41,"S1",채점입력!F2:F41)</x:f>
        <x:v>0</x:v>
      </x:c>
      <x:c r="D9" t="str">
        <x:f>IF(B9&lt;5,"측정 중",TEXT(C9/5,"0.0%"))</x:f>
        <x:v>측정 중</x:v>
      </x:c>
    </x:row>
    <x:row r="10" ht="30" customHeight="1">
      <x:c r="A10" t="str">
        <x:v>S2 묵시적 갱신</x:v>
      </x:c>
      <x:c r="B10" t="n">
        <x:f>COUNTIFS(채점입력!A2:A41,"S2",채점입력!G2:G41,"&lt;&gt;미평가")</x:f>
        <x:v>0</x:v>
      </x:c>
      <x:c r="C10" t="n">
        <x:f>SUMIF(채점입력!A2:A41,"S2",채점입력!F2:F41)</x:f>
        <x:v>0</x:v>
      </x:c>
      <x:c r="D10" t="str">
        <x:f>IF(B10&lt;5,"측정 중",TEXT(C10/5,"0.0%"))</x:f>
        <x:v>측정 중</x:v>
      </x:c>
    </x:row>
    <x:row r="11" ht="30" customHeight="1">
      <x:c r="A11" t="str">
        <x:v>S3 해지·퇴거 통보</x:v>
      </x:c>
      <x:c r="B11" t="n">
        <x:f>COUNTIFS(채점입력!A2:A41,"S3",채점입력!G2:G41,"&lt;&gt;미평가")</x:f>
        <x:v>0</x:v>
      </x:c>
      <x:c r="C11" t="n">
        <x:f>SUMIF(채점입력!A2:A41,"S3",채점입력!F2:F41)</x:f>
        <x:v>0</x:v>
      </x:c>
      <x:c r="D11" t="str">
        <x:f>IF(B11&lt;5,"측정 중",TEXT(C11/5,"0.0%"))</x:f>
        <x:v>측정 중</x:v>
      </x:c>
    </x:row>
    <x:row r="12" ht="30" customHeight="1">
      <x:c r="A12" t="str">
        <x:v>S4 분할반환 제안</x:v>
      </x:c>
      <x:c r="B12" t="n">
        <x:f>COUNTIFS(채점입력!A2:A41,"S4",채점입력!G2:G41,"&lt;&gt;미평가")</x:f>
        <x:v>0</x:v>
      </x:c>
      <x:c r="C12" t="n">
        <x:f>SUMIF(채점입력!A2:A41,"S4",채점입력!F2:F41)</x:f>
        <x:v>0</x:v>
      </x:c>
      <x:c r="D12" t="str">
        <x:f>IF(B12&lt;5,"측정 중",TEXT(C12/5,"0.0%"))</x:f>
        <x:v>측정 중</x:v>
      </x:c>
    </x:row>
    <x:row r="13" ht="30" customHeight="1">
      <x:c r="A13" t="str">
        <x:v>S5 은행 가압류</x:v>
      </x:c>
      <x:c r="B13" t="n">
        <x:f>COUNTIFS(채점입력!A2:A41,"S5",채점입력!G2:G41,"&lt;&gt;미평가")</x:f>
        <x:v>0</x:v>
      </x:c>
      <x:c r="C13" t="n">
        <x:f>SUMIF(채점입력!A2:A41,"S5",채점입력!F2:F41)</x:f>
        <x:v>0</x:v>
      </x:c>
      <x:c r="D13" t="str">
        <x:f>IF(B13&lt;5,"측정 중",TEXT(C13/5,"0.0%"))</x:f>
        <x:v>측정 중</x:v>
      </x:c>
    </x:row>
    <x:row r="14" ht="30" customHeight="1">
      <x:c r="A14" t="str">
        <x:v>S6 HUG 가압류 추가</x:v>
      </x:c>
      <x:c r="B14" t="n">
        <x:f>COUNTIFS(채점입력!A2:A41,"S6",채점입력!G2:G41,"&lt;&gt;미평가")</x:f>
        <x:v>0</x:v>
      </x:c>
      <x:c r="C14" t="n">
        <x:f>SUMIF(채점입력!A2:A41,"S6",채점입력!F2:F41)</x:f>
        <x:v>0</x:v>
      </x:c>
      <x:c r="D14" t="str">
        <x:f>IF(B14&lt;5,"측정 중",TEXT(C14/5,"0.0%"))</x:f>
        <x:v>측정 중</x:v>
      </x:c>
    </x:row>
    <x:row r="15" ht="30" customHeight="1">
      <x:c r="A15" t="str">
        <x:v>S7 반환기한 경과</x:v>
      </x:c>
      <x:c r="B15" t="n">
        <x:f>COUNTIFS(채점입력!A2:A41,"S7",채점입력!G2:G41,"&lt;&gt;미평가")</x:f>
        <x:v>0</x:v>
      </x:c>
      <x:c r="C15" t="n">
        <x:f>SUMIF(채점입력!A2:A41,"S7",채점입력!F2:F41)</x:f>
        <x:v>0</x:v>
      </x:c>
      <x:c r="D15" t="str">
        <x:f>IF(B15&lt;5,"측정 중",TEXT(C15/5,"0.0%"))</x:f>
        <x:v>측정 중</x:v>
      </x:c>
    </x:row>
    <x:row r="16" ht="30" customHeight="1">
      <x:c r="A16" t="str">
        <x:v>S8 점유 유지·이사 검토</x:v>
      </x:c>
      <x:c r="B16" t="n">
        <x:f>COUNTIFS(채점입력!A2:A41,"S8",채점입력!G2:G41,"&lt;&gt;미평가")</x:f>
        <x:v>0</x:v>
      </x:c>
      <x:c r="C16" t="n">
        <x:f>SUMIF(채점입력!A2:A41,"S8",채점입력!F2:F41)</x:f>
        <x:v>0</x:v>
      </x:c>
      <x:c r="D16" t="str">
        <x:f>IF(B16&lt;5,"측정 중",TEXT(C16/5,"0.0%"))</x:f>
        <x:v>측정 중</x:v>
      </x:c>
    </x:row>
    <x:row r="17" ht="30" customHeight="1"/>
    <x:row r="18" ht="30" customHeight="1">
      <x:c r="A18" s="4" t="str">
        <x:v>KPI</x:v>
      </x:c>
      <x:c r="B18" s="4" t="str">
        <x:v>공식 목표</x:v>
      </x:c>
    </x:row>
    <x:row r="19" ht="30" customHeight="1">
      <x:c r="A19" t="str">
        <x:v>K1 사실·쟁점 분석 정확도</x:v>
      </x:c>
      <x:c r="B19" t="str">
        <x:v>90%</x:v>
      </x:c>
    </x:row>
    <x:row r="20" ht="30" customHeight="1">
      <x:c r="A20" t="str">
        <x:v>K2 법령·판례 근거 정확도</x:v>
      </x:c>
      <x:c r="B20" t="str">
        <x:v>95% (별도 측정)</x:v>
      </x:c>
    </x:row>
    <x:row r="21" ht="30" customHeight="1">
      <x:c r="A21" t="str">
        <x:v>K3 해결절차 안내 완성도</x:v>
      </x:c>
      <x:c r="B21" t="str">
        <x:v>90% (별도 측정)</x:v>
      </x:c>
    </x:row>
    <x:row r="22" ht="30" customHeight="1">
      <x:c r="A22" t="str">
        <x:v>K4 필수 대응절차 식별률</x:v>
      </x:c>
      <x:c r="B22" t="str">
        <x:v>90% (별도 측정)</x:v>
      </x:c>
    </x:row>
    <x:row r="23" ht="30" customHeight="1">
      <x:c r="A23" t="str">
        <x:v>K5 탐색·사건정리 시간 단축률</x:v>
      </x:c>
      <x:c r="B23" t="str">
        <x:v>70% (마지막 측정)</x:v>
      </x:c>
    </x:row>
    <x:row r="26" ht="48" customHeight="1">
      <x:c r="A26" s="12" t="str">
        <x:v>판정 유의</x:v>
      </x:c>
      <x:c r="B26" s="12" t="str">
        <x:v>K1은 이 파일의 16개 사실·쟁점 판정만 측정합니다.</x:v>
      </x:c>
      <x:c r="C26" s="12" t="str">
        <x:v>K2~K5는 미측정</x:v>
      </x:c>
      <x:c r="D26" s="12" t="str">
        <x:v>심각한 허위 판단은 별도 오류 기록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16" hidden="0" customWidth="1"/>
    <x:col min="4" max="4" width="67" hidden="0" customWidth="1"/>
    <x:col min="5" max="5" width="14" hidden="0" customWidth="1"/>
    <x:col min="6" max="6" width="16" hidden="0" customWidth="1"/>
    <x:col min="7" max="7" width="50" hidden="0" customWidth="1"/>
  </x:cols>
  <x:sheetData>
    <x:row r="1" ht="30" customHeight="1">
      <x:c r="A1" s="21" t="str">
        <x:v>코드</x:v>
      </x:c>
      <x:c r="B1" s="21" t="str">
        <x:v>성능 지표</x:v>
      </x:c>
      <x:c r="C1" s="21" t="str">
        <x:v>단위</x:v>
      </x:c>
      <x:c r="D1" s="21" t="str">
        <x:v>측정 기준</x:v>
      </x:c>
      <x:c r="E1" s="21" t="str">
        <x:v>집계 방식</x:v>
      </x:c>
      <x:c r="F1" s="21" t="str">
        <x:v>수집 상태</x:v>
      </x:c>
      <x:c r="G1" s="21" t="str">
        <x:v>주의사항</x:v>
      </x:c>
    </x:row>
    <x:row r="2" ht="25" customHeight="1">
      <x:c r="A2" t="str">
        <x:v>P01</x:v>
      </x:c>
      <x:c r="B2" t="str">
        <x:v>상담 질의 수</x:v>
      </x:c>
      <x:c r="C2" t="str">
        <x:v>건</x:v>
      </x:c>
      <x:c r="D2" s="12" t="str">
        <x:v>동일 평가 구간의 LegalConsultation 고유 Trace 개수</x:v>
      </x:c>
      <x:c r="E2" t="str">
        <x:v>총계</x:v>
      </x:c>
      <x:c r="F2" t="str">
        <x:v>자동</x:v>
      </x:c>
      <x:c r="G2" t="str">
        <x:v>비교시 질문 수 차이 표시</x:v>
      </x:c>
    </x:row>
    <x:row r="3" ht="25" customHeight="1">
      <x:c r="A3" t="str">
        <x:v>P02</x:v>
      </x:c>
      <x:c r="B3" t="str">
        <x:v>상담 평균 응답시간</x:v>
      </x:c>
      <x:c r="C3" t="str">
        <x:v>초</x:v>
      </x:c>
      <x:c r="D3" s="12" t="str">
        <x:v>상담 정상 완료 Trace 응답시간 평균</x:v>
      </x:c>
      <x:c r="E3" t="str">
        <x:v>평균</x:v>
      </x:c>
      <x:c r="F3" t="str">
        <x:v>자동</x:v>
      </x:c>
      <x:c r="G3" t="str">
        <x:v>동일 질문군 별도 비교 권장</x:v>
      </x:c>
    </x:row>
    <x:row r="4" ht="25" customHeight="1">
      <x:c r="A4" t="str">
        <x:v>P03</x:v>
      </x:c>
      <x:c r="B4" t="str">
        <x:v>상담 P95 응답시간</x:v>
      </x:c>
      <x:c r="C4" t="str">
        <x:v>초</x:v>
      </x:c>
      <x:c r="D4" s="12" t="str">
        <x:v>상담 응답시간 95백분위</x:v>
      </x:c>
      <x:c r="E4" t="str">
        <x:v>P95</x:v>
      </x:c>
      <x:c r="F4" t="str">
        <x:v>자동</x:v>
      </x:c>
      <x:c r="G4" t="str">
        <x:v>표본 수 반드시 병기</x:v>
      </x:c>
    </x:row>
    <x:row r="5" ht="25" customHeight="1">
      <x:c r="A5" t="str">
        <x:v>P04</x:v>
      </x:c>
      <x:c r="B5" t="str">
        <x:v>상담 총 토큰</x:v>
      </x:c>
      <x:c r="C5" t="str">
        <x:v>token</x:v>
      </x:c>
      <x:c r="D5" s="12" t="str">
        <x:v>평가 구간 상담 Generation prompt+completion 합계, 중복 제거</x:v>
      </x:c>
      <x:c r="E5" t="str">
        <x:v>합계</x:v>
      </x:c>
      <x:c r="F5" t="str">
        <x:v>자동</x:v>
      </x:c>
      <x:c r="G5" t="str">
        <x:v>사용량 누락은 미측정</x:v>
      </x:c>
    </x:row>
    <x:row r="6" ht="25" customHeight="1">
      <x:c r="A6" t="str">
        <x:v>P05</x:v>
      </x:c>
      <x:c r="B6" t="str">
        <x:v>상담 평균 토큰</x:v>
      </x:c>
      <x:c r="C6" t="str">
        <x:v>token/질의</x:v>
      </x:c>
      <x:c r="D6" s="12" t="str">
        <x:v>상담 총 토큰 / 계측된 상담 수</x:v>
      </x:c>
      <x:c r="E6" t="str">
        <x:v>평균</x:v>
      </x:c>
      <x:c r="F6" t="str">
        <x:v>자동</x:v>
      </x:c>
      <x:c r="G6" t="str">
        <x:v>누락률 병기</x:v>
      </x:c>
    </x:row>
    <x:row r="7" ht="25" customHeight="1">
      <x:c r="A7" t="str">
        <x:v>P06</x:v>
      </x:c>
      <x:c r="B7" t="str">
        <x:v>LLM 호출 횟수</x:v>
      </x:c>
      <x:c r="C7" t="str">
        <x:v>회</x:v>
      </x:c>
      <x:c r="D7" s="12" t="str">
        <x:v>고유 Generation 중 실제 LLM 호출 건수</x:v>
      </x:c>
      <x:c r="E7" t="str">
        <x:v>합계</x:v>
      </x:c>
      <x:c r="F7" t="str">
        <x:v>자동</x:v>
      </x:c>
      <x:c r="G7" t="str">
        <x:v>재시도 포함, 중복 제거</x:v>
      </x:c>
    </x:row>
    <x:row r="8" ht="25" customHeight="1">
      <x:c r="A8" t="str">
        <x:v>P07</x:v>
      </x:c>
      <x:c r="B8" t="str">
        <x:v>RAG 검색 횟수</x:v>
      </x:c>
      <x:c r="C8" t="str">
        <x:v>회</x:v>
      </x:c>
      <x:c r="D8" s="12" t="str">
        <x:v>법령 Vector/Graph/외부 검색 Span의 고유 실행 수</x:v>
      </x:c>
      <x:c r="E8" t="str">
        <x:v>합계</x:v>
      </x:c>
      <x:c r="F8" t="str">
        <x:v>조건부</x:v>
      </x:c>
      <x:c r="G8" t="str">
        <x:v>기존 계측 확인 필요</x:v>
      </x:c>
    </x:row>
    <x:row r="9" ht="25" customHeight="1">
      <x:c r="A9" t="str">
        <x:v>P08</x:v>
      </x:c>
      <x:c r="B9" t="str">
        <x:v>오류·재시도 횟수</x:v>
      </x:c>
      <x:c r="C9" t="str">
        <x:v>회</x:v>
      </x:c>
      <x:c r="D9" s="12" t="str">
        <x:v>오류 및 재실행 이벤트 합계</x:v>
      </x:c>
      <x:c r="E9" t="str">
        <x:v>합계</x:v>
      </x:c>
      <x:c r="F9" t="str">
        <x:v>조건부</x:v>
      </x:c>
      <x:c r="G9" t="str">
        <x:v>계측 불가시 미측정</x:v>
      </x:c>
    </x:row>
    <x:row r="10" ht="25" customHeight="1">
      <x:c r="A10" t="str">
        <x:v>P09</x:v>
      </x:c>
      <x:c r="B10" t="str">
        <x:v>증거 등록 건수</x:v>
      </x:c>
      <x:c r="C10" t="str">
        <x:v>건</x:v>
      </x:c>
      <x:c r="D10" s="12" t="str">
        <x:v>평가 구간 등록 완료 증거 ID 개수</x:v>
      </x:c>
      <x:c r="E10" t="str">
        <x:v>합계</x:v>
      </x:c>
      <x:c r="F10" t="str">
        <x:v>자동</x:v>
      </x:c>
      <x:c r="G10" t="str">
        <x:v>사건번호+구간</x:v>
      </x:c>
    </x:row>
    <x:row r="11" ht="25" customHeight="1">
      <x:c r="A11" t="str">
        <x:v>P10</x:v>
      </x:c>
      <x:c r="B11" t="str">
        <x:v>증거 등록 처리시간</x:v>
      </x:c>
      <x:c r="C11" t="str">
        <x:v>초</x:v>
      </x:c>
      <x:c r="D11" s="12" t="str">
        <x:v>업로드 요청 Trace 소요시간 합계</x:v>
      </x:c>
      <x:c r="E11" t="str">
        <x:v>합계</x:v>
      </x:c>
      <x:c r="F11" t="str">
        <x:v>자동</x:v>
      </x:c>
      <x:c r="G11" t="str">
        <x:v>백그라운드 추출 미포함</x:v>
      </x:c>
    </x:row>
    <x:row r="12" ht="25" customHeight="1">
      <x:c r="A12" t="str">
        <x:v>P11</x:v>
      </x:c>
      <x:c r="B12" t="str">
        <x:v>텍스트·사실 추출시간</x:v>
      </x:c>
      <x:c r="C12" t="str">
        <x:v>초</x:v>
      </x:c>
      <x:c r="D12" s="12" t="str">
        <x:v>추출 완료 작업 소요시간 합계</x:v>
      </x:c>
      <x:c r="E12" t="str">
        <x:v>합계</x:v>
      </x:c>
      <x:c r="F12" t="str">
        <x:v>보완 필요</x:v>
      </x:c>
      <x:c r="G12" t="str">
        <x:v>백그라운드 Trace 연결 필요</x:v>
      </x:c>
    </x:row>
    <x:row r="13" ht="25" customHeight="1">
      <x:c r="A13" t="str">
        <x:v>P12</x:v>
      </x:c>
      <x:c r="B13" t="str">
        <x:v>GraphDB 동기화시간</x:v>
      </x:c>
      <x:c r="C13" t="str">
        <x:v>초</x:v>
      </x:c>
      <x:c r="D13" s="12" t="str">
        <x:v>동기화 완료 작업 처리시간 합계</x:v>
      </x:c>
      <x:c r="E13" t="str">
        <x:v>합계</x:v>
      </x:c>
      <x:c r="F13" t="str">
        <x:v>보완 필요</x:v>
      </x:c>
      <x:c r="G13" t="str">
        <x:v>Worker 계측 필요</x:v>
      </x:c>
    </x:row>
    <x:row r="14" ht="25" customHeight="1">
      <x:c r="A14" t="str">
        <x:v>P13</x:v>
      </x:c>
      <x:c r="B14" t="str">
        <x:v>작업 처리시간 합계</x:v>
      </x:c>
      <x:c r="C14" t="str">
        <x:v>초</x:v>
      </x:c>
      <x:c r="D14" s="12" t="str">
        <x:v>계측 가능한 개별 작업 소요시간 합계</x:v>
      </x:c>
      <x:c r="E14" t="str">
        <x:v>합계</x:v>
      </x:c>
      <x:c r="F14" t="str">
        <x:v>조건부</x:v>
      </x:c>
      <x:c r="G14" t="str">
        <x:v>병렬 실행으로 실제 경과시간과 다름</x:v>
      </x:c>
    </x:row>
    <x:row r="15" ht="25" customHeight="1">
      <x:c r="A15" t="str">
        <x:v>P14</x:v>
      </x:c>
      <x:c r="B15" t="str">
        <x:v>전체 평가 경과시간</x:v>
      </x:c>
      <x:c r="C15" t="str">
        <x:v>분</x:v>
      </x:c>
      <x:c r="D15" s="12" t="str">
        <x:v>평가 종료시각 - 시작시각</x:v>
      </x:c>
      <x:c r="E15" t="str">
        <x:v>차이</x:v>
      </x:c>
      <x:c r="F15" t="str">
        <x:v>자동</x:v>
      </x:c>
      <x:c r="G15" t="str">
        <x:v>사용자 대기 포함, 성능 개선률에서 제외</x:v>
      </x:c>
    </x:row>
    <x:row r="16" ht="25" customHeight="1">
      <x:c r="A16" t="str">
        <x:v>P15</x:v>
      </x:c>
      <x:c r="B16" t="str">
        <x:v>처리 완료율</x:v>
      </x:c>
      <x:c r="C16" t="str">
        <x:v>%</x:v>
      </x:c>
      <x:c r="D16" s="12" t="str">
        <x:v>완료 작업 수 / 실행된 작업 수 ×100</x:v>
      </x:c>
      <x:c r="E16" t="str">
        <x:v>비율</x:v>
      </x:c>
      <x:c r="F16" t="str">
        <x:v>조건부</x:v>
      </x:c>
      <x:c r="G16" t="str">
        <x:v>답변 정확도와 구분</x:v>
      </x:c>
    </x:row>
    <x:row r="17" ht="25" customHeight="1">
      <x:c r="A17" t="str">
        <x:v>P16</x:v>
      </x:c>
      <x:c r="B17" t="str">
        <x:v>계측 누락 건수</x:v>
      </x:c>
      <x:c r="C17" t="str">
        <x:v>건</x:v>
      </x:c>
      <x:c r="D17" s="12" t="str">
        <x:v>예상 작업과 연결 Trace/상태가 없는 작업 수</x:v>
      </x:c>
      <x:c r="E17" t="str">
        <x:v>합계</x:v>
      </x:c>
      <x:c r="F17" t="str">
        <x:v>조건부</x:v>
      </x:c>
      <x:c r="G17" t="str">
        <x:v>누락을 0으로 처리 금지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40" hidden="0" customWidth="1"/>
    <x:col min="4" max="4" width="23" hidden="0" customWidth="1"/>
    <x:col min="5" max="5" width="23" hidden="0" customWidth="1"/>
    <x:col min="6" max="6" width="30" hidden="0" customWidth="1"/>
    <x:col min="7" max="7" width="44" hidden="0" customWidth="1"/>
    <x:col min="8" max="8" width="24" hidden="0" customWidth="1"/>
    <x:col min="9" max="9" width="45" hidden="0" customWidth="1"/>
  </x:cols>
  <x:sheetData>
    <x:row r="1" ht="30" customHeight="1">
      <x:c r="A1" s="21" t="str">
        <x:v>평가구분</x:v>
      </x:c>
      <x:c r="B1" s="21" t="str">
        <x:v>시나리오</x:v>
      </x:c>
      <x:c r="C1" s="21" t="str">
        <x:v>사건 ID(case_id)</x:v>
      </x:c>
      <x:c r="D1" s="21" t="str">
        <x:v>시작시각</x:v>
      </x:c>
      <x:c r="E1" s="21" t="str">
        <x:v>종료시각</x:v>
      </x:c>
      <x:c r="F1" s="21" t="str">
        <x:v>평가 세션 ID</x:v>
      </x:c>
      <x:c r="G1" s="21" t="str">
        <x:v>Git SHA</x:v>
      </x:c>
      <x:c r="H1" s="21" t="str">
        <x:v>모델</x:v>
      </x:c>
      <x:c r="I1" s="21" t="str">
        <x:v>환경·특이사항</x:v>
      </x:c>
    </x:row>
    <x:row r="2" ht="25" customHeight="1">
      <x:c r="A2" t="str">
        <x:v>PoC</x:v>
      </x:c>
      <x:c r="B2" t="str">
        <x:v>SC-001</x:v>
      </x:c>
      <x:c r="C2"/>
      <x:c r="D2" s="22"/>
      <x:c r="E2" s="22"/>
      <x:c r="F2"/>
      <x:c r="G2"/>
      <x:c r="H2"/>
      <x:c r="I2"/>
    </x:row>
    <x:row r="3" ht="25" customHeight="1">
      <x:c r="A3" t="str">
        <x:v>E2E</x:v>
      </x:c>
      <x:c r="B3" t="str">
        <x:v>SC-001</x:v>
      </x:c>
      <x:c r="C3"/>
      <x:c r="D3" s="22"/>
      <x:c r="E3" s="22"/>
      <x:c r="F3"/>
      <x:c r="G3"/>
      <x:c r="H3"/>
      <x:c r="I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6" hidden="0" customWidth="1"/>
    <x:col min="4" max="4" width="20" hidden="0" customWidth="1"/>
    <x:col min="5" max="5" width="20" hidden="0" customWidth="1"/>
    <x:col min="6" max="6" width="17" hidden="0" customWidth="1"/>
    <x:col min="7" max="7" width="19" hidden="0" customWidth="1"/>
    <x:col min="8" max="8" width="20" hidden="0" customWidth="1"/>
    <x:col min="9" max="9" width="17" hidden="0" customWidth="1"/>
    <x:col min="10" max="10" width="52" hidden="0" customWidth="1"/>
  </x:cols>
  <x:sheetData>
    <x:row r="1" ht="30" customHeight="1">
      <x:c r="A1" s="21" t="str">
        <x:v>코드</x:v>
      </x:c>
      <x:c r="B1" s="21" t="str">
        <x:v>지표</x:v>
      </x:c>
      <x:c r="C1" s="21" t="str">
        <x:v>단위</x:v>
      </x:c>
      <x:c r="D1" s="21" t="str">
        <x:v>PoC 측정값</x:v>
      </x:c>
      <x:c r="E1" s="21" t="str">
        <x:v>E2E 측정값</x:v>
      </x:c>
      <x:c r="F1" s="21" t="str">
        <x:v>변화량</x:v>
      </x:c>
      <x:c r="G1" s="21" t="str">
        <x:v>변화율(%)</x:v>
      </x:c>
      <x:c r="H1" s="21" t="str">
        <x:v>비교 가능 여부</x:v>
      </x:c>
      <x:c r="I1" s="21" t="str">
        <x:v>수집 상태</x:v>
      </x:c>
      <x:c r="J1" s="21" t="str">
        <x:v>비고</x:v>
      </x:c>
    </x:row>
    <x:row r="2" ht="25" customHeight="1">
      <x:c r="A2" t="str">
        <x:v>P01</x:v>
      </x:c>
      <x:c r="B2" t="str">
        <x:v>상담 질의 수</x:v>
      </x:c>
      <x:c r="C2" t="str">
        <x:v>건</x:v>
      </x:c>
      <x:c r="D2"/>
      <x:c r="E2"/>
      <x:c r="F2" t="str">
        <x:f>IF(OR(NOT(ISNUMBER(D2)),NOT(ISNUMBER(E2))),"",E2-D2)</x:f>
      </x:c>
      <x:c r="G2" s="23" t="str">
        <x:f>IF(OR(NOT(ISNUMBER(D2)),NOT(ISNUMBER(E2)),D2=0),"",(E2-D2)/D2)</x:f>
      </x:c>
      <x:c r="H2"/>
      <x:c r="I2" t="str">
        <x:v>미측정</x:v>
      </x:c>
      <x:c r="J2" t="str">
        <x:v>비교시 질문 수 차이 표시</x:v>
      </x:c>
    </x:row>
    <x:row r="3" ht="25" customHeight="1">
      <x:c r="A3" t="str">
        <x:v>P02</x:v>
      </x:c>
      <x:c r="B3" t="str">
        <x:v>상담 평균 응답시간</x:v>
      </x:c>
      <x:c r="C3" t="str">
        <x:v>초</x:v>
      </x:c>
      <x:c r="D3"/>
      <x:c r="E3"/>
      <x:c r="F3" t="str">
        <x:f>IF(OR(NOT(ISNUMBER(D3)),NOT(ISNUMBER(E3))),"",E3-D3)</x:f>
      </x:c>
      <x:c r="G3" s="23" t="str">
        <x:f>IF(OR(NOT(ISNUMBER(D3)),NOT(ISNUMBER(E3)),D3=0),"",(E3-D3)/D3)</x:f>
      </x:c>
      <x:c r="H3"/>
      <x:c r="I3" t="str">
        <x:v>미측정</x:v>
      </x:c>
      <x:c r="J3" t="str">
        <x:v>동일 질문군 별도 비교 권장</x:v>
      </x:c>
    </x:row>
    <x:row r="4" ht="25" customHeight="1">
      <x:c r="A4" t="str">
        <x:v>P03</x:v>
      </x:c>
      <x:c r="B4" t="str">
        <x:v>상담 P95 응답시간</x:v>
      </x:c>
      <x:c r="C4" t="str">
        <x:v>초</x:v>
      </x:c>
      <x:c r="D4"/>
      <x:c r="E4"/>
      <x:c r="F4" t="str">
        <x:f>IF(OR(NOT(ISNUMBER(D4)),NOT(ISNUMBER(E4))),"",E4-D4)</x:f>
      </x:c>
      <x:c r="G4" s="23" t="str">
        <x:f>IF(OR(NOT(ISNUMBER(D4)),NOT(ISNUMBER(E4)),D4=0),"",(E4-D4)/D4)</x:f>
      </x:c>
      <x:c r="H4"/>
      <x:c r="I4" t="str">
        <x:v>미측정</x:v>
      </x:c>
      <x:c r="J4" t="str">
        <x:v>표본 수 반드시 병기</x:v>
      </x:c>
    </x:row>
    <x:row r="5" ht="25" customHeight="1">
      <x:c r="A5" t="str">
        <x:v>P04</x:v>
      </x:c>
      <x:c r="B5" t="str">
        <x:v>상담 총 토큰</x:v>
      </x:c>
      <x:c r="C5" t="str">
        <x:v>token</x:v>
      </x:c>
      <x:c r="D5"/>
      <x:c r="E5"/>
      <x:c r="F5" t="str">
        <x:f>IF(OR(NOT(ISNUMBER(D5)),NOT(ISNUMBER(E5))),"",E5-D5)</x:f>
      </x:c>
      <x:c r="G5" s="23" t="str">
        <x:f>IF(OR(NOT(ISNUMBER(D5)),NOT(ISNUMBER(E5)),D5=0),"",(E5-D5)/D5)</x:f>
      </x:c>
      <x:c r="H5"/>
      <x:c r="I5" t="str">
        <x:v>미측정</x:v>
      </x:c>
      <x:c r="J5" t="str">
        <x:v>사용량 누락은 미측정</x:v>
      </x:c>
    </x:row>
    <x:row r="6" ht="25" customHeight="1">
      <x:c r="A6" t="str">
        <x:v>P05</x:v>
      </x:c>
      <x:c r="B6" t="str">
        <x:v>상담 평균 토큰</x:v>
      </x:c>
      <x:c r="C6" t="str">
        <x:v>token/질의</x:v>
      </x:c>
      <x:c r="D6"/>
      <x:c r="E6"/>
      <x:c r="F6" t="str">
        <x:f>IF(OR(NOT(ISNUMBER(D6)),NOT(ISNUMBER(E6))),"",E6-D6)</x:f>
      </x:c>
      <x:c r="G6" s="23" t="str">
        <x:f>IF(OR(NOT(ISNUMBER(D6)),NOT(ISNUMBER(E6)),D6=0),"",(E6-D6)/D6)</x:f>
      </x:c>
      <x:c r="H6"/>
      <x:c r="I6" t="str">
        <x:v>미측정</x:v>
      </x:c>
      <x:c r="J6" t="str">
        <x:v>누락률 병기</x:v>
      </x:c>
    </x:row>
    <x:row r="7" ht="25" customHeight="1">
      <x:c r="A7" t="str">
        <x:v>P06</x:v>
      </x:c>
      <x:c r="B7" t="str">
        <x:v>LLM 호출 횟수</x:v>
      </x:c>
      <x:c r="C7" t="str">
        <x:v>회</x:v>
      </x:c>
      <x:c r="D7"/>
      <x:c r="E7"/>
      <x:c r="F7" t="str">
        <x:f>IF(OR(NOT(ISNUMBER(D7)),NOT(ISNUMBER(E7))),"",E7-D7)</x:f>
      </x:c>
      <x:c r="G7" s="23" t="str">
        <x:f>IF(OR(NOT(ISNUMBER(D7)),NOT(ISNUMBER(E7)),D7=0),"",(E7-D7)/D7)</x:f>
      </x:c>
      <x:c r="H7"/>
      <x:c r="I7" t="str">
        <x:v>미측정</x:v>
      </x:c>
      <x:c r="J7" t="str">
        <x:v>재시도 포함, 중복 제거</x:v>
      </x:c>
    </x:row>
    <x:row r="8" ht="25" customHeight="1">
      <x:c r="A8" t="str">
        <x:v>P07</x:v>
      </x:c>
      <x:c r="B8" t="str">
        <x:v>RAG 검색 횟수</x:v>
      </x:c>
      <x:c r="C8" t="str">
        <x:v>회</x:v>
      </x:c>
      <x:c r="D8"/>
      <x:c r="E8"/>
      <x:c r="F8" t="str">
        <x:f>IF(OR(NOT(ISNUMBER(D8)),NOT(ISNUMBER(E8))),"",E8-D8)</x:f>
      </x:c>
      <x:c r="G8" s="23" t="str">
        <x:f>IF(OR(NOT(ISNUMBER(D8)),NOT(ISNUMBER(E8)),D8=0),"",(E8-D8)/D8)</x:f>
      </x:c>
      <x:c r="H8"/>
      <x:c r="I8" t="str">
        <x:v>미측정</x:v>
      </x:c>
      <x:c r="J8" t="str">
        <x:v>기존 계측 확인 필요</x:v>
      </x:c>
    </x:row>
    <x:row r="9" ht="25" customHeight="1">
      <x:c r="A9" t="str">
        <x:v>P08</x:v>
      </x:c>
      <x:c r="B9" t="str">
        <x:v>오류·재시도 횟수</x:v>
      </x:c>
      <x:c r="C9" t="str">
        <x:v>회</x:v>
      </x:c>
      <x:c r="D9"/>
      <x:c r="E9"/>
      <x:c r="F9" t="str">
        <x:f>IF(OR(NOT(ISNUMBER(D9)),NOT(ISNUMBER(E9))),"",E9-D9)</x:f>
      </x:c>
      <x:c r="G9" s="23" t="str">
        <x:f>IF(OR(NOT(ISNUMBER(D9)),NOT(ISNUMBER(E9)),D9=0),"",(E9-D9)/D9)</x:f>
      </x:c>
      <x:c r="H9"/>
      <x:c r="I9" t="str">
        <x:v>미측정</x:v>
      </x:c>
      <x:c r="J9" t="str">
        <x:v>계측 불가시 미측정</x:v>
      </x:c>
    </x:row>
    <x:row r="10" ht="25" customHeight="1">
      <x:c r="A10" t="str">
        <x:v>P09</x:v>
      </x:c>
      <x:c r="B10" t="str">
        <x:v>증거 등록 건수</x:v>
      </x:c>
      <x:c r="C10" t="str">
        <x:v>건</x:v>
      </x:c>
      <x:c r="D10"/>
      <x:c r="E10"/>
      <x:c r="F10" t="str">
        <x:f>IF(OR(NOT(ISNUMBER(D10)),NOT(ISNUMBER(E10))),"",E10-D10)</x:f>
      </x:c>
      <x:c r="G10" s="23" t="str">
        <x:f>IF(OR(NOT(ISNUMBER(D10)),NOT(ISNUMBER(E10)),D10=0),"",(E10-D10)/D10)</x:f>
      </x:c>
      <x:c r="H10"/>
      <x:c r="I10" t="str">
        <x:v>미측정</x:v>
      </x:c>
      <x:c r="J10" t="str">
        <x:v>사건번호+구간</x:v>
      </x:c>
    </x:row>
    <x:row r="11" ht="25" customHeight="1">
      <x:c r="A11" t="str">
        <x:v>P10</x:v>
      </x:c>
      <x:c r="B11" t="str">
        <x:v>증거 등록 처리시간</x:v>
      </x:c>
      <x:c r="C11" t="str">
        <x:v>초</x:v>
      </x:c>
      <x:c r="D11"/>
      <x:c r="E11"/>
      <x:c r="F11" t="str">
        <x:f>IF(OR(NOT(ISNUMBER(D11)),NOT(ISNUMBER(E11))),"",E11-D11)</x:f>
      </x:c>
      <x:c r="G11" s="23" t="str">
        <x:f>IF(OR(NOT(ISNUMBER(D11)),NOT(ISNUMBER(E11)),D11=0),"",(E11-D11)/D11)</x:f>
      </x:c>
      <x:c r="H11"/>
      <x:c r="I11" t="str">
        <x:v>미측정</x:v>
      </x:c>
      <x:c r="J11" t="str">
        <x:v>백그라운드 추출 미포함</x:v>
      </x:c>
    </x:row>
    <x:row r="12" ht="25" customHeight="1">
      <x:c r="A12" t="str">
        <x:v>P11</x:v>
      </x:c>
      <x:c r="B12" t="str">
        <x:v>텍스트·사실 추출시간</x:v>
      </x:c>
      <x:c r="C12" t="str">
        <x:v>초</x:v>
      </x:c>
      <x:c r="D12"/>
      <x:c r="E12"/>
      <x:c r="F12" t="str">
        <x:f>IF(OR(NOT(ISNUMBER(D12)),NOT(ISNUMBER(E12))),"",E12-D12)</x:f>
      </x:c>
      <x:c r="G12" s="23" t="str">
        <x:f>IF(OR(NOT(ISNUMBER(D12)),NOT(ISNUMBER(E12)),D12=0),"",(E12-D12)/D12)</x:f>
      </x:c>
      <x:c r="H12"/>
      <x:c r="I12" t="str">
        <x:v>미측정</x:v>
      </x:c>
      <x:c r="J12" t="str">
        <x:v>백그라운드 Trace 연결 필요</x:v>
      </x:c>
    </x:row>
    <x:row r="13" ht="25" customHeight="1">
      <x:c r="A13" t="str">
        <x:v>P12</x:v>
      </x:c>
      <x:c r="B13" t="str">
        <x:v>GraphDB 동기화시간</x:v>
      </x:c>
      <x:c r="C13" t="str">
        <x:v>초</x:v>
      </x:c>
      <x:c r="D13"/>
      <x:c r="E13"/>
      <x:c r="F13" t="str">
        <x:f>IF(OR(NOT(ISNUMBER(D13)),NOT(ISNUMBER(E13))),"",E13-D13)</x:f>
      </x:c>
      <x:c r="G13" s="23" t="str">
        <x:f>IF(OR(NOT(ISNUMBER(D13)),NOT(ISNUMBER(E13)),D13=0),"",(E13-D13)/D13)</x:f>
      </x:c>
      <x:c r="H13"/>
      <x:c r="I13" t="str">
        <x:v>미측정</x:v>
      </x:c>
      <x:c r="J13" t="str">
        <x:v>Worker 계측 필요</x:v>
      </x:c>
    </x:row>
    <x:row r="14" ht="25" customHeight="1">
      <x:c r="A14" t="str">
        <x:v>P13</x:v>
      </x:c>
      <x:c r="B14" t="str">
        <x:v>작업 처리시간 합계</x:v>
      </x:c>
      <x:c r="C14" t="str">
        <x:v>초</x:v>
      </x:c>
      <x:c r="D14"/>
      <x:c r="E14"/>
      <x:c r="F14" t="str">
        <x:f>IF(OR(NOT(ISNUMBER(D14)),NOT(ISNUMBER(E14))),"",E14-D14)</x:f>
      </x:c>
      <x:c r="G14" s="23" t="str">
        <x:f>IF(OR(NOT(ISNUMBER(D14)),NOT(ISNUMBER(E14)),D14=0),"",(E14-D14)/D14)</x:f>
      </x:c>
      <x:c r="H14"/>
      <x:c r="I14" t="str">
        <x:v>미측정</x:v>
      </x:c>
      <x:c r="J14" t="str">
        <x:v>병렬 실행으로 실제 경과시간과 다름</x:v>
      </x:c>
    </x:row>
    <x:row r="15" ht="25" customHeight="1">
      <x:c r="A15" t="str">
        <x:v>P14</x:v>
      </x:c>
      <x:c r="B15" t="str">
        <x:v>전체 평가 경과시간</x:v>
      </x:c>
      <x:c r="C15" t="str">
        <x:v>분</x:v>
      </x:c>
      <x:c r="D15"/>
      <x:c r="E15"/>
      <x:c r="F15" t="str">
        <x:f>IF(OR(NOT(ISNUMBER(D15)),NOT(ISNUMBER(E15))),"",E15-D15)</x:f>
      </x:c>
      <x:c r="G15" s="23" t="str">
        <x:f>IF(OR(NOT(ISNUMBER(D15)),NOT(ISNUMBER(E15)),D15=0),"",(E15-D15)/D15)</x:f>
      </x:c>
      <x:c r="H15"/>
      <x:c r="I15" t="str">
        <x:v>미측정</x:v>
      </x:c>
      <x:c r="J15" t="str">
        <x:v>사용자 대기 포함, 성능 개선률에서 제외</x:v>
      </x:c>
    </x:row>
    <x:row r="16" ht="25" customHeight="1">
      <x:c r="A16" t="str">
        <x:v>P15</x:v>
      </x:c>
      <x:c r="B16" t="str">
        <x:v>처리 완료율</x:v>
      </x:c>
      <x:c r="C16" t="str">
        <x:v>%</x:v>
      </x:c>
      <x:c r="D16"/>
      <x:c r="E16"/>
      <x:c r="F16" t="str">
        <x:f>IF(OR(NOT(ISNUMBER(D16)),NOT(ISNUMBER(E16))),"",E16-D16)</x:f>
      </x:c>
      <x:c r="G16" s="23" t="str">
        <x:f>IF(OR(NOT(ISNUMBER(D16)),NOT(ISNUMBER(E16)),D16=0),"",(E16-D16)/D16)</x:f>
      </x:c>
      <x:c r="H16"/>
      <x:c r="I16" t="str">
        <x:v>미측정</x:v>
      </x:c>
      <x:c r="J16" t="str">
        <x:v>답변 정확도와 구분</x:v>
      </x:c>
    </x:row>
    <x:row r="17" ht="25" customHeight="1">
      <x:c r="A17" t="str">
        <x:v>P16</x:v>
      </x:c>
      <x:c r="B17" t="str">
        <x:v>계측 누락 건수</x:v>
      </x:c>
      <x:c r="C17" t="str">
        <x:v>건</x:v>
      </x:c>
      <x:c r="D17"/>
      <x:c r="E17"/>
      <x:c r="F17" t="str">
        <x:f>IF(OR(NOT(ISNUMBER(D17)),NOT(ISNUMBER(E17))),"",E17-D17)</x:f>
      </x:c>
      <x:c r="G17" s="23" t="str">
        <x:f>IF(OR(NOT(ISNUMBER(D17)),NOT(ISNUMBER(E17)),D17=0),"",(E17-D17)/D17)</x:f>
      </x:c>
      <x:c r="H17"/>
      <x:c r="I17" t="str">
        <x:v>미측정</x:v>
      </x:c>
      <x:c r="J17" t="str">
        <x:v>누락을 0으로 처리 금지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9" hidden="0" customWidth="1"/>
    <x:col min="3" max="3" width="29" hidden="0" customWidth="1"/>
    <x:col min="4" max="4" width="18" hidden="0" customWidth="1"/>
    <x:col min="5" max="5" width="16" hidden="0" customWidth="1"/>
    <x:col min="6" max="6" width="42" hidden="0" customWidth="1"/>
    <x:col min="7" max="7" width="24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8" hidden="0" customWidth="1"/>
    <x:col min="15" max="15" width="18" hidden="0" customWidth="1"/>
  </x:cols>
  <x:sheetData>
    <x:row r="1" ht="30" customHeight="1">
      <x:c r="A1" s="21" t="str">
        <x:v>평가구분</x:v>
      </x:c>
      <x:c r="B1" s="21" t="str">
        <x:v>case_id</x:v>
      </x:c>
      <x:c r="C1" s="21" t="str">
        <x:v>평가세션ID</x:v>
      </x:c>
      <x:c r="D1" s="21" t="str">
        <x:v>단계(S1~S8)</x:v>
      </x:c>
      <x:c r="E1" s="21" t="str">
        <x:v>질의 순번</x:v>
      </x:c>
      <x:c r="F1" s="21" t="str">
        <x:v>Trace ID</x:v>
      </x:c>
      <x:c r="G1" s="21" t="str">
        <x:v>시작시각</x:v>
      </x:c>
      <x:c r="H1" s="21" t="str">
        <x:v>응답시간(초)</x:v>
      </x:c>
      <x:c r="I1" s="21" t="str">
        <x:v>Prompt token</x:v>
      </x:c>
      <x:c r="J1" s="21" t="str">
        <x:v>Completion token</x:v>
      </x:c>
      <x:c r="K1" s="21" t="str">
        <x:v>LLM 호출수</x:v>
      </x:c>
      <x:c r="L1" s="21" t="str">
        <x:v>검색횟수</x:v>
      </x:c>
      <x:c r="M1" s="21" t="str">
        <x:v>재시도</x:v>
      </x:c>
      <x:c r="N1" s="21" t="str">
        <x:v>완료여부</x:v>
      </x:c>
      <x:c r="O1" s="21" t="str">
        <x:v>수집상태</x:v>
      </x:c>
    </x:row>
    <x:row r="2" ht="2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9" hidden="0" customWidth="1"/>
    <x:col min="3" max="3" width="28" hidden="0" customWidth="1"/>
    <x:col min="4" max="4" width="16" hidden="0" customWidth="1"/>
    <x:col min="5" max="5" width="24" hidden="0" customWidth="1"/>
    <x:col min="6" max="6" width="40" hidden="0" customWidth="1"/>
    <x:col min="7" max="7" width="40" hidden="0" customWidth="1"/>
    <x:col min="8" max="8" width="24" hidden="0" customWidth="1"/>
    <x:col min="9" max="9" width="24" hidden="0" customWidth="1"/>
    <x:col min="10" max="10" width="20" hidden="0" customWidth="1"/>
    <x:col min="11" max="11" width="18" hidden="0" customWidth="1"/>
    <x:col min="12" max="12" width="36" hidden="0" customWidth="1"/>
    <x:col min="13" max="13" width="18" hidden="0" customWidth="1"/>
  </x:cols>
  <x:sheetData>
    <x:row r="1" ht="30" customHeight="1">
      <x:c r="A1" s="21" t="str">
        <x:v>평가구분</x:v>
      </x:c>
      <x:c r="B1" s="21" t="str">
        <x:v>case_id</x:v>
      </x:c>
      <x:c r="C1" s="21" t="str">
        <x:v>평가세션ID</x:v>
      </x:c>
      <x:c r="D1" s="21" t="str">
        <x:v>단계</x:v>
      </x:c>
      <x:c r="E1" s="21" t="str">
        <x:v>작업유형</x:v>
      </x:c>
      <x:c r="F1" s="21" t="str">
        <x:v>evidence_id / task_id</x:v>
      </x:c>
      <x:c r="G1" s="21" t="str">
        <x:v>Trace ID</x:v>
      </x:c>
      <x:c r="H1" s="21" t="str">
        <x:v>시작시각</x:v>
      </x:c>
      <x:c r="I1" s="21" t="str">
        <x:v>종료시각</x:v>
      </x:c>
      <x:c r="J1" s="21" t="str">
        <x:v>처리시간(초)</x:v>
      </x:c>
      <x:c r="K1" s="21" t="str">
        <x:v>완료여부</x:v>
      </x:c>
      <x:c r="L1" s="21" t="str">
        <x:v>오류</x:v>
      </x:c>
      <x:c r="M1" s="21" t="str">
        <x:v>계측상태</x:v>
      </x:c>
    </x:row>
    <x:row r="2" ht="25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05" hidden="0" customWidth="1"/>
  </x:cols>
  <x:sheetData>
    <x:row r="1" ht="30" customHeight="1">
      <x:c r="A1" s="21" t="str">
        <x:v>구분</x:v>
      </x:c>
      <x:c r="B1" s="21" t="str">
        <x:v>설명</x:v>
      </x:c>
    </x:row>
    <x:row r="2" ht="25" customHeight="1">
      <x:c r="A2" t="str">
        <x:v>평가 단위</x:v>
      </x:c>
      <x:c r="B2" s="12" t="str">
        <x:v>SC-001 S1~S8 전체 시나리오를 PoC 1회, E2E 1회 실행</x:v>
      </x:c>
    </x:row>
    <x:row r="3" ht="25" customHeight="1">
      <x:c r="A3" t="str">
        <x:v>기존 품질평가</x:v>
      </x:c>
      <x:c r="B3" s="12" t="str">
        <x:v>원본의 단계별질문·단계별정답·채점입력·점수집계 시트를 그대로 유지</x:v>
      </x:c>
    </x:row>
    <x:row r="4" ht="25" customHeight="1">
      <x:c r="A4" t="str">
        <x:v>품질 평가</x:v>
      </x:c>
      <x:c r="B4" s="12" t="str">
        <x:v>기존 Gold Set 판정 기준을 사용하며 법률 정확도와 처리 완료율을 혼동하지 않음</x:v>
      </x:c>
    </x:row>
    <x:row r="5" ht="25" customHeight="1">
      <x:c r="A5" t="str">
        <x:v>성능 평가</x:v>
      </x:c>
      <x:c r="B5" s="12" t="str">
        <x:v>성능지표정의 → 평가실행관리 → 상담Trace원본/작업실행원본 → 성능결과비교</x:v>
      </x:c>
    </x:row>
    <x:row r="6" ht="25" customHeight="1">
      <x:c r="A6" t="str">
        <x:v>수집 방식</x:v>
      </x:c>
      <x:c r="B6" s="12" t="str">
        <x:v>현재는 입력·집계 양식. Langfuse/PostgreSQL 자동 수집기 구현 후 원본 시트 자동 채움</x:v>
      </x:c>
    </x:row>
    <x:row r="7" ht="25" customHeight="1">
      <x:c r="A7" t="str">
        <x:v>평가 시작/종료</x:v>
      </x:c>
      <x:c r="B7" s="12" t="str">
        <x:v>사건 ID와 시작·종료시각, 평가 세션 ID로 실행 범위 고정</x:v>
      </x:c>
    </x:row>
    <x:row r="8" ht="25" customHeight="1">
      <x:c r="A8" t="str">
        <x:v>백그라운드</x:v>
      </x:c>
      <x:c r="B8" s="12" t="str">
        <x:v>추출·Graph 동기화는 종료 전에 완료 확인, Trace 누락 시 미측정</x:v>
      </x:c>
    </x:row>
    <x:row r="9" ht="25" customHeight="1">
      <x:c r="A9" t="str">
        <x:v>공정 비교</x:v>
      </x:c>
      <x:c r="B9" s="12" t="str">
        <x:v>총 비용은 시나리오 단위, 응답시간·토큰은 질의 단위. 질문 수 차이 병기</x:v>
      </x:c>
    </x:row>
    <x:row r="10" ht="25" customHeight="1">
      <x:c r="A10" t="str">
        <x:v>결과 해석</x:v>
      </x:c>
      <x:c r="B10" s="12" t="str">
        <x:v>품질 점수와 성능 지표를 분리 표기하며 임의 합산 점수 금지</x:v>
      </x:c>
    </x:row>
    <x:row r="11" ht="25" customHeight="1">
      <x:c r="A11" t="str">
        <x:v>현재 상태</x:v>
      </x:c>
      <x:c r="B11" s="12" t="str">
        <x:v>실제 측정값은 아직 없으므로 비워둠. 예시 수치 입력하지 않음</x:v>
      </x:c>
    </x:row>
  </x:sheetData>
  <x:pageMargins left="0.7" right="0.7" top="0.75" bottom="0.75" header="0.3" footer="0.3"/>
</x:worksheet>
</file>