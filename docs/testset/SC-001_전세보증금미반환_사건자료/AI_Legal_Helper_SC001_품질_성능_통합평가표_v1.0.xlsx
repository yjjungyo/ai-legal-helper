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25" tabRatio="860" activeTab="11"/>
  </bookViews>
  <sheets>
    <sheet name="사용안내" sheetId="1" r:id="rId1"/>
    <sheet name="단계별질문" sheetId="2" r:id="rId2"/>
    <sheet name="단계별정답" sheetId="3" r:id="rId3"/>
    <sheet name="채점입력" sheetId="4" r:id="rId4"/>
    <sheet name="점수집계" sheetId="5" r:id="rId5"/>
    <sheet name="성능지표정의" sheetId="6" r:id="rId6"/>
    <sheet name="평가실행관리" sheetId="7" r:id="rId7"/>
    <sheet name="성능결과비교" sheetId="8" r:id="rId8"/>
    <sheet name="상담Trace원본" sheetId="9" r:id="rId9"/>
    <sheet name="작업실행원본" sheetId="10" r:id="rId10"/>
    <sheet name="통합평가안내" sheetId="11" r:id="rId11"/>
    <sheet name="S5_POC_trace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<sst xmlns="http://schemas.openxmlformats.org/spreadsheetml/2006/main" count="963" uniqueCount="506">
  <si>
    <t>SC-001 동적 사건 대응 KPI 평가 패키지</t>
  </si>
  <si>
    <t>v1.0 | 수동 측정</t>
  </si>
  <si>
    <t>목적</t>
  </si>
  <si>
    <t>증거를 시간순으로 누적 등록하고, 같은 사건에서 매 단계 상담 결과를 비교</t>
  </si>
  <si>
    <t>시작</t>
  </si>
  <si>
    <t>평가 전용 사건 1건 생성. 기존 전체 증거 등록 사건은 사용하지 않음</t>
  </si>
  <si>
    <t>실행</t>
  </si>
  <si>
    <t>S1 증거 등록→질문 실행→답변 저장→채점→S2 추가 증거 등록…S8까지 반복</t>
  </si>
  <si>
    <t>정답</t>
  </si>
  <si>
    <t>'단계별정답'의 기대 사실·쟁점·행동·금지사항을 참고하되 원문 증거와 대조</t>
  </si>
  <si>
    <t>채점</t>
  </si>
  <si>
    <t>'채점입력' 시트 G열에서 충족/부분/미충족 선택; F열은 점수 자동 계산</t>
  </si>
  <si>
    <t>점수</t>
  </si>
  <si>
    <t>충족 1점, 부분 0.5점, 미충족 0점. 미평가 행은 완료 판정에서 제외</t>
  </si>
  <si>
    <t>K1</t>
  </si>
  <si>
    <t>사실 정확성+쟁점 식별 16개 판정의 점수/16×100; 목표 90%</t>
  </si>
  <si>
    <t>동적 대응 진단</t>
  </si>
  <si>
    <t>맥락 유지+재판단+미래정보 방지 24개 판정의 점수/24×100 (보조 지표)</t>
  </si>
  <si>
    <t>전체 진단</t>
  </si>
  <si>
    <t>40개 판정의 점수/40×100 (공식 KPI와 혼동 금지)</t>
  </si>
  <si>
    <t>주의</t>
  </si>
  <si>
    <t>Gold v1.2는 FROZEN이나 법률 전문가 검토는 PROVISIONAL; 이 파일은 신규 순차 평가 설계</t>
  </si>
  <si>
    <t>단계</t>
  </si>
  <si>
    <t>기준시점</t>
  </si>
  <si>
    <t>사건 변화</t>
  </si>
  <si>
    <t>새 증거(기존 증거 누적)</t>
  </si>
  <si>
    <t>복사하여 입력할 상담 질문</t>
  </si>
  <si>
    <t>S1</t>
  </si>
  <si>
    <t>2022-03-01</t>
  </si>
  <si>
    <t>계약·입주</t>
  </si>
  <si>
    <t>E01 계약서 / E02 지급 / E03 전입·확정일자</t>
  </si>
  <si>
    <r>
      <t>등록된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계약서와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입금</t>
    </r>
    <r>
      <rPr>
        <sz val="11"/>
        <rFont val="Carlito"/>
        <charset val="134"/>
      </rPr>
      <t>·</t>
    </r>
    <r>
      <rPr>
        <sz val="11"/>
        <rFont val="바탕체"/>
        <charset val="134"/>
      </rPr>
      <t>전입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자료를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기준으로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현재까지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확인되는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계약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사실</t>
    </r>
    <r>
      <rPr>
        <sz val="11"/>
        <rFont val="Carlito"/>
        <charset val="134"/>
      </rPr>
      <t xml:space="preserve">, </t>
    </r>
    <r>
      <rPr>
        <sz val="11"/>
        <rFont val="바탕체"/>
        <charset val="134"/>
      </rPr>
      <t>당사자</t>
    </r>
    <r>
      <rPr>
        <sz val="11"/>
        <rFont val="Carlito"/>
        <charset val="134"/>
      </rPr>
      <t xml:space="preserve">, </t>
    </r>
    <r>
      <rPr>
        <sz val="11"/>
        <rFont val="바탕체"/>
        <charset val="134"/>
      </rPr>
      <t>보증금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지급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여부</t>
    </r>
    <r>
      <rPr>
        <sz val="11"/>
        <rFont val="Carlito"/>
        <charset val="134"/>
      </rPr>
      <t xml:space="preserve">, </t>
    </r>
    <r>
      <rPr>
        <sz val="11"/>
        <rFont val="바탕체"/>
        <charset val="134"/>
      </rPr>
      <t>임차인의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권리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및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앞으로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확인할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사항을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분석해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주세요</t>
    </r>
    <r>
      <rPr>
        <sz val="11"/>
        <rFont val="Carlito"/>
        <charset val="134"/>
      </rPr>
      <t>.</t>
    </r>
  </si>
  <si>
    <t>S2</t>
  </si>
  <si>
    <t>2024-03-01</t>
  </si>
  <si>
    <t>묵시적 갱신</t>
  </si>
  <si>
    <t>E04 갱신 관련 자료</t>
  </si>
  <si>
    <r>
      <t>최초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계약기간이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지났지만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갱신계약서를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새로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작성하지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않았습니다</t>
    </r>
    <r>
      <rPr>
        <sz val="11"/>
        <rFont val="Carlito"/>
        <charset val="134"/>
      </rPr>
      <t xml:space="preserve">. </t>
    </r>
    <r>
      <rPr>
        <sz val="11"/>
        <rFont val="바탕체"/>
        <charset val="134"/>
      </rPr>
      <t>기존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계약은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현재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어떤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상태인가요</t>
    </r>
    <r>
      <rPr>
        <sz val="11"/>
        <rFont val="Carlito"/>
        <charset val="134"/>
      </rPr>
      <t xml:space="preserve">? </t>
    </r>
    <r>
      <rPr>
        <sz val="11"/>
        <rFont val="바탕체"/>
        <charset val="134"/>
      </rPr>
      <t>앞으로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계약을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종료하려면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어떻게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해야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하나요</t>
    </r>
    <r>
      <rPr>
        <sz val="11"/>
        <rFont val="Carlito"/>
        <charset val="134"/>
      </rPr>
      <t>?</t>
    </r>
  </si>
  <si>
    <t>S3</t>
  </si>
  <si>
    <t>해지·퇴거 통보</t>
  </si>
  <si>
    <t>E05 해지·퇴거 문자</t>
  </si>
  <si>
    <r>
      <t>오늘 2026년04월01일에 임대인에게</t>
    </r>
    <r>
      <rPr>
        <sz val="11"/>
        <rFont val="Carlito"/>
        <charset val="134"/>
      </rPr>
      <t xml:space="preserve"> 2026</t>
    </r>
    <r>
      <rPr>
        <sz val="11"/>
        <rFont val="바탕체"/>
        <charset val="134"/>
      </rPr>
      <t>년</t>
    </r>
    <r>
      <rPr>
        <sz val="11"/>
        <rFont val="Carlito"/>
        <charset val="134"/>
      </rPr>
      <t xml:space="preserve"> 9</t>
    </r>
    <r>
      <rPr>
        <sz val="11"/>
        <rFont val="바탕체"/>
        <charset val="134"/>
      </rPr>
      <t>월</t>
    </r>
    <r>
      <rPr>
        <sz val="11"/>
        <rFont val="Carlito"/>
        <charset val="134"/>
      </rPr>
      <t xml:space="preserve"> 30</t>
    </r>
    <r>
      <rPr>
        <sz val="11"/>
        <rFont val="바탕체"/>
        <charset val="134"/>
      </rPr>
      <t>일에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퇴거하고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보증금</t>
    </r>
    <r>
      <rPr>
        <sz val="11"/>
        <rFont val="Carlito"/>
        <charset val="134"/>
      </rPr>
      <t xml:space="preserve"> 3</t>
    </r>
    <r>
      <rPr>
        <sz val="11"/>
        <rFont val="바탕체"/>
        <charset val="134"/>
      </rPr>
      <t>억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원을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반환받겠다는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문자를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보냈습니다</t>
    </r>
    <r>
      <rPr>
        <sz val="11"/>
        <rFont val="Carlito"/>
        <charset val="134"/>
      </rPr>
      <t xml:space="preserve">. </t>
    </r>
    <r>
      <rPr>
        <sz val="11"/>
        <rFont val="바탕체"/>
        <charset val="134"/>
      </rPr>
      <t>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통보로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계약이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종료되나요</t>
    </r>
    <r>
      <rPr>
        <sz val="11"/>
        <rFont val="Carlito"/>
        <charset val="134"/>
      </rPr>
      <t xml:space="preserve">? </t>
    </r>
    <r>
      <rPr>
        <sz val="11"/>
        <rFont val="바탕체"/>
        <charset val="134"/>
      </rPr>
      <t>언제부터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효력이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발생하고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어떤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증거를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보관해야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하나요</t>
    </r>
    <r>
      <rPr>
        <sz val="11"/>
        <rFont val="Carlito"/>
        <charset val="134"/>
      </rPr>
      <t>?</t>
    </r>
  </si>
  <si>
    <t>S4</t>
  </si>
  <si>
    <t>분할반환 제안</t>
  </si>
  <si>
    <t>E06 제안 자료 / E07 통화 자료(해당 시)</t>
  </si>
  <si>
    <r>
      <t>2026-05-20일 현재,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집주인이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새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세입자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보증금으로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일부를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먼저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주고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나머지는</t>
    </r>
    <r>
      <rPr>
        <sz val="11"/>
        <rFont val="Carlito"/>
        <charset val="134"/>
      </rPr>
      <t xml:space="preserve"> 1</t>
    </r>
    <r>
      <rPr>
        <sz val="11"/>
        <rFont val="바탕체"/>
        <charset val="134"/>
      </rPr>
      <t>년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후에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지급하겠다고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합니다</t>
    </r>
    <r>
      <rPr>
        <sz val="11"/>
        <rFont val="Carlito"/>
        <charset val="134"/>
      </rPr>
      <t xml:space="preserve">. </t>
    </r>
    <r>
      <rPr>
        <sz val="11"/>
        <rFont val="바탕체"/>
        <charset val="134"/>
      </rPr>
      <t>기존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대응에서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무엇을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바꿔야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하나요</t>
    </r>
    <r>
      <rPr>
        <sz val="11"/>
        <rFont val="Carlito"/>
        <charset val="134"/>
      </rPr>
      <t>?</t>
    </r>
  </si>
  <si>
    <t>S5</t>
  </si>
  <si>
    <t>2026-08-12</t>
  </si>
  <si>
    <t>은행 가압류</t>
  </si>
  <si>
    <t>E09 은행 가압류 / E11 등기부(해당 시)</t>
  </si>
  <si>
    <r>
      <t>등기부에서</t>
    </r>
    <r>
      <rPr>
        <sz val="11"/>
        <rFont val="Carlito"/>
        <charset val="134"/>
      </rPr>
      <t xml:space="preserve"> 2026</t>
    </r>
    <r>
      <rPr>
        <sz val="11"/>
        <rFont val="바탕체"/>
        <charset val="134"/>
      </rPr>
      <t>년</t>
    </r>
    <r>
      <rPr>
        <sz val="11"/>
        <rFont val="Carlito"/>
        <charset val="134"/>
      </rPr>
      <t xml:space="preserve"> 8</t>
    </r>
    <r>
      <rPr>
        <sz val="11"/>
        <rFont val="바탕체"/>
        <charset val="134"/>
      </rPr>
      <t>월</t>
    </r>
    <r>
      <rPr>
        <sz val="11"/>
        <rFont val="Carlito"/>
        <charset val="134"/>
      </rPr>
      <t xml:space="preserve"> 12</t>
    </r>
    <r>
      <rPr>
        <sz val="11"/>
        <rFont val="바탕체"/>
        <charset val="134"/>
      </rPr>
      <t>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은행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가압류</t>
    </r>
    <r>
      <rPr>
        <sz val="11"/>
        <rFont val="Carlito"/>
        <charset val="134"/>
      </rPr>
      <t xml:space="preserve"> 7,200</t>
    </r>
    <r>
      <rPr>
        <sz val="11"/>
        <rFont val="바탕체"/>
        <charset val="134"/>
      </rPr>
      <t>만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원을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발견했습니다</t>
    </r>
    <r>
      <rPr>
        <sz val="11"/>
        <rFont val="Carlito"/>
        <charset val="134"/>
      </rPr>
      <t xml:space="preserve">. </t>
    </r>
    <r>
      <rPr>
        <sz val="11"/>
        <rFont val="바탕체"/>
        <charset val="134"/>
      </rPr>
      <t>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보증금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반환에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어떤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변화가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생겼나요</t>
    </r>
    <r>
      <rPr>
        <sz val="11"/>
        <rFont val="Carlito"/>
        <charset val="134"/>
      </rPr>
      <t xml:space="preserve">? </t>
    </r>
    <r>
      <rPr>
        <sz val="11"/>
        <rFont val="바탕체"/>
        <charset val="134"/>
      </rPr>
      <t>기존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권리분석과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대응을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다시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평가해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주세요</t>
    </r>
    <r>
      <rPr>
        <sz val="11"/>
        <rFont val="Carlito"/>
        <charset val="134"/>
      </rPr>
      <t>.</t>
    </r>
  </si>
  <si>
    <t>S6</t>
  </si>
  <si>
    <t>HUG 가압류 추가</t>
  </si>
  <si>
    <t>E10 HUG 가압류 / 최신 E11 등기부</t>
  </si>
  <si>
    <r>
      <t>2026-09-18</t>
    </r>
    <r>
      <rPr>
        <sz val="11"/>
        <rFont val="바탕체"/>
        <charset val="134"/>
      </rPr>
      <t>일에</t>
    </r>
    <r>
      <rPr>
        <sz val="11"/>
        <rFont val="Carlito"/>
        <charset val="134"/>
      </rPr>
      <t xml:space="preserve"> HUG</t>
    </r>
    <r>
      <rPr>
        <sz val="11"/>
        <rFont val="바탕체"/>
        <charset val="134"/>
      </rPr>
      <t>의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구상금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가압류</t>
    </r>
    <r>
      <rPr>
        <sz val="11"/>
        <rFont val="Carlito"/>
        <charset val="134"/>
      </rPr>
      <t xml:space="preserve"> 1</t>
    </r>
    <r>
      <rPr>
        <sz val="11"/>
        <rFont val="바탕체"/>
        <charset val="134"/>
      </rPr>
      <t>억</t>
    </r>
    <r>
      <rPr>
        <sz val="11"/>
        <rFont val="Carlito"/>
        <charset val="134"/>
      </rPr>
      <t xml:space="preserve"> 2</t>
    </r>
    <r>
      <rPr>
        <sz val="11"/>
        <rFont val="바탕체"/>
        <charset val="134"/>
      </rPr>
      <t>천만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원도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확인했습니다</t>
    </r>
    <r>
      <rPr>
        <sz val="11"/>
        <rFont val="Carlito"/>
        <charset val="134"/>
      </rPr>
      <t xml:space="preserve">. </t>
    </r>
    <r>
      <rPr>
        <sz val="11"/>
        <rFont val="바탕체"/>
        <charset val="134"/>
      </rPr>
      <t>현재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권리관계가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어떻게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달라졌나요</t>
    </r>
    <r>
      <rPr>
        <sz val="11"/>
        <rFont val="Carlito"/>
        <charset val="134"/>
      </rPr>
      <t xml:space="preserve">? </t>
    </r>
    <r>
      <rPr>
        <sz val="11"/>
        <rFont val="바탕체"/>
        <charset val="134"/>
      </rPr>
      <t>대응을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우선순위대로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알려주세요</t>
    </r>
    <r>
      <rPr>
        <sz val="11"/>
        <rFont val="Carlito"/>
        <charset val="134"/>
      </rPr>
      <t>.</t>
    </r>
  </si>
  <si>
    <t>S7</t>
  </si>
  <si>
    <t>2026-10-01</t>
  </si>
  <si>
    <t>반환기한 경과</t>
  </si>
  <si>
    <t>E15 미반환 관련 자료</t>
  </si>
  <si>
    <r>
      <t>9</t>
    </r>
    <r>
      <rPr>
        <sz val="11"/>
        <rFont val="바탕체"/>
        <charset val="134"/>
      </rPr>
      <t>월</t>
    </r>
    <r>
      <rPr>
        <sz val="11"/>
        <rFont val="Carlito"/>
        <charset val="134"/>
      </rPr>
      <t xml:space="preserve"> 30</t>
    </r>
    <r>
      <rPr>
        <sz val="11"/>
        <rFont val="바탕체"/>
        <charset val="134"/>
      </rPr>
      <t>일이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지났지만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보증금</t>
    </r>
    <r>
      <rPr>
        <sz val="11"/>
        <rFont val="Carlito"/>
        <charset val="134"/>
      </rPr>
      <t xml:space="preserve"> 3</t>
    </r>
    <r>
      <rPr>
        <sz val="11"/>
        <rFont val="바탕체"/>
        <charset val="134"/>
      </rPr>
      <t>억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원을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반환하지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않았습니다</t>
    </r>
    <r>
      <rPr>
        <sz val="11"/>
        <rFont val="Carlito"/>
        <charset val="134"/>
      </rPr>
      <t xml:space="preserve">. </t>
    </r>
    <r>
      <rPr>
        <sz val="11"/>
        <rFont val="바탕체"/>
        <charset val="134"/>
      </rPr>
      <t>계약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종료</t>
    </r>
    <r>
      <rPr>
        <sz val="11"/>
        <rFont val="Carlito"/>
        <charset val="134"/>
      </rPr>
      <t>·</t>
    </r>
    <r>
      <rPr>
        <sz val="11"/>
        <rFont val="바탕체"/>
        <charset val="134"/>
      </rPr>
      <t>반환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청구</t>
    </r>
    <r>
      <rPr>
        <sz val="11"/>
        <rFont val="Carlito"/>
        <charset val="134"/>
      </rPr>
      <t>·</t>
    </r>
    <r>
      <rPr>
        <sz val="11"/>
        <rFont val="바탕체"/>
        <charset val="134"/>
      </rPr>
      <t>임차권등기명령</t>
    </r>
    <r>
      <rPr>
        <sz val="11"/>
        <rFont val="Carlito"/>
        <charset val="134"/>
      </rPr>
      <t>·</t>
    </r>
    <r>
      <rPr>
        <sz val="11"/>
        <rFont val="바탕체"/>
        <charset val="134"/>
      </rPr>
      <t>소송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등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다음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조치를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우선순위대로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알려주세요</t>
    </r>
    <r>
      <rPr>
        <sz val="11"/>
        <rFont val="Carlito"/>
        <charset val="134"/>
      </rPr>
      <t>.</t>
    </r>
  </si>
  <si>
    <t>S8</t>
  </si>
  <si>
    <t>2026-10-15</t>
  </si>
  <si>
    <t>점유 유지·이사 검토</t>
  </si>
  <si>
    <t>E16 점유·주민등록 자료</t>
  </si>
  <si>
    <t>10월 15일 현재 보증금은 받지 못했고 점유와 주민등록을 유지합니다. 이사해야 한다면 어떤 순서로 진행해야 하나요? 사건 변화도 요약해 주세요.</t>
  </si>
  <si>
    <t>시점</t>
  </si>
  <si>
    <t>정답: 확인 사실</t>
  </si>
  <si>
    <t>정답: 핵심 쟁점</t>
  </si>
  <si>
    <t>정답: 적절한 대응</t>
  </si>
  <si>
    <t>오답·금지 판단</t>
  </si>
  <si>
    <t>2022-02-20 계약 / 3억원(계약금 3천만원·잔금 2억7천만원) / 2022-03-01~2024-02-29 / 2022-03-01 입주·전입·확정일자</t>
  </si>
  <si>
    <t>대항요건·확정일자 / 최초 계약 종료일</t>
  </si>
  <si>
    <t>증거 보관, 추가 등기 권리 확인</t>
  </si>
  <si>
    <t>미래의 갱신·해지·가압류·미반환 사실 언급 금지</t>
  </si>
  <si>
    <t>2024-02-29 만료 / 별도 갱신거절 통지 없음 / 종전 조건 유지</t>
  </si>
  <si>
    <t>묵시적 갱신 성립 / 임차인 해지 통고와 3개월 규정</t>
  </si>
  <si>
    <t>해지 의사와 도달 증거 확보</t>
  </si>
  <si>
    <t>2026년 통보가 이미 이루어졌다고 판단 금지</t>
  </si>
  <si>
    <t>2026-04-01</t>
  </si>
  <si>
    <t>2026-04-01 통보 / 2026-09-30 퇴거·반환 요청 / 도달 증거 확인</t>
  </si>
  <si>
    <t>해지 의사표시·도달 / 3개월 규정과 지정일 관계</t>
  </si>
  <si>
    <t>문자 원본·답장 보관 / 도달 불명확 시 보완</t>
  </si>
  <si>
    <t>발송 즉시 종료 또는 도달 무조건 확정 금지</t>
  </si>
  <si>
    <t>2026-05-20</t>
  </si>
  <si>
    <t>새 세입자 보증금 의존 / 부족분 1년 후 제안</t>
  </si>
  <si>
    <t>분할합의 위험 / 반환기한 변경 효과</t>
  </si>
  <si>
    <t>무담보 유예 주의 / 금액·기한·담보 검토</t>
  </si>
  <si>
    <t>제안만으로 반환 확정 또는 무조건 수용 금지</t>
  </si>
  <si>
    <t>은행 가압류 7,200만원 / 등기일 2026-08-12 / 기존 전입·확정일자</t>
  </si>
  <si>
    <t>임차인 권리와 가압류 선후 / 회수 위험</t>
  </si>
  <si>
    <t>최신 등기부 전체 확인 / 점유·전입 보전</t>
  </si>
  <si>
    <t>가압류만으로 전액 손실·권리열위 단정 금지</t>
  </si>
  <si>
    <t>2026-09-18</t>
  </si>
  <si>
    <t>은행 7,200만원 / HUG 1억2천만원 / 등기 시점</t>
  </si>
  <si>
    <t>복수 가압류 권리 비교 / 회수 위험·불확실성</t>
  </si>
  <si>
    <t>최신 등기·반환 촉구 / 권리보전 준비</t>
  </si>
  <si>
    <t>HUG 자동 선순위 또는 회수액 보장 금지</t>
  </si>
  <si>
    <t>2026-09-30 기한 경과 / 3억원 미반환 / 기존 가압류 유지</t>
  </si>
  <si>
    <t>계약 종료·반환채무 / 임차권등기 요건 / 회수절차</t>
  </si>
  <si>
    <t>점유·전입 유지 / 등기명령·반환청구 검토</t>
  </si>
  <si>
    <t>등기 완료 전 퇴거·전입 이전 권고 금지</t>
  </si>
  <si>
    <t>2026-10-15 점유·전입 유지 / 보증금 미반환</t>
  </si>
  <si>
    <t>대항력 유지 / 신청과 등기 완료 구별</t>
  </si>
  <si>
    <t>임차권등기 실제 완료 확인 후 이사 / 권리변동 모니터링</t>
  </si>
  <si>
    <t>신청만으로 즉시 이사 가능 또는 전액 회수 보장 금지</t>
  </si>
  <si>
    <t>분류</t>
  </si>
  <si>
    <t>평가 항목</t>
  </si>
  <si>
    <t>판정 기준</t>
  </si>
  <si>
    <t>점수(자동)</t>
  </si>
  <si>
    <t>판정(입력)</t>
  </si>
  <si>
    <t>근거·오류 메모</t>
  </si>
  <si>
    <t>상담 답변 파일/링크</t>
  </si>
  <si>
    <t>핵심 사실 정확성</t>
  </si>
  <si>
    <t>그 시점에 등록된 증거의 날짜·금액·당사자·상태를 정확히 반영</t>
  </si>
  <si>
    <t>미평가</t>
  </si>
  <si>
    <t/>
  </si>
  <si>
    <t>핵심 쟁점 식별</t>
  </si>
  <si>
    <t>해당 시점 필수 쟁점을 누락 없이 도출</t>
  </si>
  <si>
    <t>진단</t>
  </si>
  <si>
    <t>이전 맥락 유지</t>
  </si>
  <si>
    <t>이전 단계 확인 사실을 왜곡·삭제하지 않음</t>
  </si>
  <si>
    <t>상황 변화에 따른 재판단</t>
  </si>
  <si>
    <t>새 증거로 유지·수정·철회할 판단을 구분</t>
  </si>
  <si>
    <t>미래 사실·허위 사실 방지</t>
  </si>
  <si>
    <t>미등록 미래 사실 또는 무근거 사실을 확정하지 않음</t>
  </si>
  <si>
    <t>SC-001 단계별 KPI 측정 결과</t>
  </si>
  <si>
    <t>평가 수</t>
  </si>
  <si>
    <t>점수 합계</t>
  </si>
  <si>
    <t>정확도 / 판정</t>
  </si>
  <si>
    <t>K1 사건 사실·쟁점 분석 (목표 90%)</t>
  </si>
  <si>
    <t>동적 사건 대응 진단 (보조)</t>
  </si>
  <si>
    <t>전체 40항목 진단 (보조)</t>
  </si>
  <si>
    <t>완료된 평가 항목</t>
  </si>
  <si>
    <t>채점 완료</t>
  </si>
  <si>
    <t>총점 / 5</t>
  </si>
  <si>
    <t>단계별 점수</t>
  </si>
  <si>
    <t>S1 계약·입주</t>
  </si>
  <si>
    <t>S2 묵시적 갱신</t>
  </si>
  <si>
    <t>S3 해지·퇴거 통보</t>
  </si>
  <si>
    <t>S4 분할반환 제안</t>
  </si>
  <si>
    <t>S5 은행 가압류</t>
  </si>
  <si>
    <t>S6 HUG 가압류 추가</t>
  </si>
  <si>
    <t>S7 반환기한 경과</t>
  </si>
  <si>
    <t>S8 점유 유지·이사 검토</t>
  </si>
  <si>
    <t>KPI</t>
  </si>
  <si>
    <t>공식 목표</t>
  </si>
  <si>
    <t>K1 사실·쟁점 분석 정확도</t>
  </si>
  <si>
    <t>90%</t>
  </si>
  <si>
    <t>K2 법령·판례 근거 정확도</t>
  </si>
  <si>
    <t>95% (별도 측정)</t>
  </si>
  <si>
    <t>K3 해결절차 안내 완성도</t>
  </si>
  <si>
    <t>90% (별도 측정)</t>
  </si>
  <si>
    <t>K4 필수 대응절차 식별률</t>
  </si>
  <si>
    <t>K5 탐색·사건정리 시간 단축률</t>
  </si>
  <si>
    <t>70% (마지막 측정)</t>
  </si>
  <si>
    <t>판정 유의</t>
  </si>
  <si>
    <t>K1은 이 파일의 16개 사실·쟁점 판정만 측정합니다.</t>
  </si>
  <si>
    <t>K2~K5는 미측정</t>
  </si>
  <si>
    <t>심각한 허위 판단은 별도 오류 기록</t>
  </si>
  <si>
    <t>코드</t>
  </si>
  <si>
    <t>성능 지표</t>
  </si>
  <si>
    <t>단위</t>
  </si>
  <si>
    <t>측정 기준</t>
  </si>
  <si>
    <t>집계 방식</t>
  </si>
  <si>
    <t>수집 상태</t>
  </si>
  <si>
    <t>주의사항</t>
  </si>
  <si>
    <t>P01</t>
  </si>
  <si>
    <t>상담 질의 수</t>
  </si>
  <si>
    <t>건</t>
  </si>
  <si>
    <t>동일 평가 구간의 LegalConsultation 고유 Trace 개수</t>
  </si>
  <si>
    <t>총계</t>
  </si>
  <si>
    <t>자동</t>
  </si>
  <si>
    <t>비교시 질문 수 차이 표시</t>
  </si>
  <si>
    <t>P02</t>
  </si>
  <si>
    <t>상담 평균 응답시간</t>
  </si>
  <si>
    <t>초</t>
  </si>
  <si>
    <t>상담 정상 완료 Trace 응답시간 평균</t>
  </si>
  <si>
    <t>평균</t>
  </si>
  <si>
    <t>동일 질문군 별도 비교 권장</t>
  </si>
  <si>
    <t>P03</t>
  </si>
  <si>
    <t>상담 P95 응답시간</t>
  </si>
  <si>
    <t>상담 응답시간 95백분위</t>
  </si>
  <si>
    <t>P95</t>
  </si>
  <si>
    <t>표본 수 반드시 병기</t>
  </si>
  <si>
    <t>P04</t>
  </si>
  <si>
    <t>상담 총 토큰</t>
  </si>
  <si>
    <t>token</t>
  </si>
  <si>
    <t>평가 구간 상담 Generation prompt+completion 합계, 중복 제거</t>
  </si>
  <si>
    <t>합계</t>
  </si>
  <si>
    <t>사용량 누락은 미측정</t>
  </si>
  <si>
    <t>P05</t>
  </si>
  <si>
    <t>상담 평균 토큰</t>
  </si>
  <si>
    <t>token/질의</t>
  </si>
  <si>
    <t>상담 총 토큰 / 계측된 상담 수</t>
  </si>
  <si>
    <t>누락률 병기</t>
  </si>
  <si>
    <t>P06</t>
  </si>
  <si>
    <t>LLM 호출 횟수</t>
  </si>
  <si>
    <t>회</t>
  </si>
  <si>
    <t>고유 Generation 중 실제 LLM 호출 건수</t>
  </si>
  <si>
    <t>재시도 포함, 중복 제거</t>
  </si>
  <si>
    <t>P07</t>
  </si>
  <si>
    <t>RAG 검색 횟수</t>
  </si>
  <si>
    <t>법령 Vector/Graph/외부 검색 Span의 고유 실행 수</t>
  </si>
  <si>
    <t>조건부</t>
  </si>
  <si>
    <t>기존 계측 확인 필요</t>
  </si>
  <si>
    <t>P08</t>
  </si>
  <si>
    <t>오류·재시도 횟수</t>
  </si>
  <si>
    <t>오류 및 재실행 이벤트 합계</t>
  </si>
  <si>
    <t>계측 불가시 미측정</t>
  </si>
  <si>
    <t>P09</t>
  </si>
  <si>
    <t>증거 등록 건수</t>
  </si>
  <si>
    <t>평가 구간 등록 완료 증거 ID 개수</t>
  </si>
  <si>
    <t>사건번호+구간</t>
  </si>
  <si>
    <t>P10</t>
  </si>
  <si>
    <t>증거 등록 처리시간</t>
  </si>
  <si>
    <t>업로드 요청 Trace 소요시간 합계</t>
  </si>
  <si>
    <t>백그라운드 추출 미포함</t>
  </si>
  <si>
    <t>P11</t>
  </si>
  <si>
    <t>텍스트·사실 추출시간</t>
  </si>
  <si>
    <t>추출 완료 작업 소요시간 합계</t>
  </si>
  <si>
    <t>보완 필요</t>
  </si>
  <si>
    <t>백그라운드 Trace 연결 필요</t>
  </si>
  <si>
    <t>P12</t>
  </si>
  <si>
    <t>GraphDB 동기화시간</t>
  </si>
  <si>
    <t>동기화 완료 작업 처리시간 합계</t>
  </si>
  <si>
    <t>Worker 계측 필요</t>
  </si>
  <si>
    <t>P13</t>
  </si>
  <si>
    <t>작업 처리시간 합계</t>
  </si>
  <si>
    <t>계측 가능한 개별 작업 소요시간 합계</t>
  </si>
  <si>
    <t>병렬 실행으로 실제 경과시간과 다름</t>
  </si>
  <si>
    <t>P14</t>
  </si>
  <si>
    <t>전체 평가 경과시간</t>
  </si>
  <si>
    <t>분</t>
  </si>
  <si>
    <t>평가 종료시각 - 시작시각</t>
  </si>
  <si>
    <t>차이</t>
  </si>
  <si>
    <t>사용자 대기 포함, 성능 개선률에서 제외</t>
  </si>
  <si>
    <t>P15</t>
  </si>
  <si>
    <t>처리 완료율</t>
  </si>
  <si>
    <t>%</t>
  </si>
  <si>
    <t>완료 작업 수 / 실행된 작업 수 ×100</t>
  </si>
  <si>
    <t>비율</t>
  </si>
  <si>
    <t>답변 정확도와 구분</t>
  </si>
  <si>
    <t>P16</t>
  </si>
  <si>
    <t>계측 누락 건수</t>
  </si>
  <si>
    <t>예상 작업과 연결 Trace/상태가 없는 작업 수</t>
  </si>
  <si>
    <t>누락을 0으로 처리 금지</t>
  </si>
  <si>
    <t>평가구분</t>
  </si>
  <si>
    <t>시나리오</t>
  </si>
  <si>
    <t>사건 ID(case_id)</t>
  </si>
  <si>
    <t>시작시각</t>
  </si>
  <si>
    <t>종료시각</t>
  </si>
  <si>
    <t>평가 세션 ID</t>
  </si>
  <si>
    <t>Git SHA</t>
  </si>
  <si>
    <t>모델</t>
  </si>
  <si>
    <t>환경·특이사항</t>
  </si>
  <si>
    <t>PoC</t>
  </si>
  <si>
    <t>SC-001</t>
  </si>
  <si>
    <t>E2E</t>
  </si>
  <si>
    <t>지표</t>
  </si>
  <si>
    <t>PoC 측정값</t>
  </si>
  <si>
    <t>E2E 측정값</t>
  </si>
  <si>
    <t>변화량</t>
  </si>
  <si>
    <t>변화율(%)</t>
  </si>
  <si>
    <t>비교 가능 여부</t>
  </si>
  <si>
    <t>비고</t>
  </si>
  <si>
    <t>미측정</t>
  </si>
  <si>
    <t>case_id</t>
  </si>
  <si>
    <t>평가세션ID</t>
  </si>
  <si>
    <t>단계(S1~S8)</t>
  </si>
  <si>
    <t>질의 순번</t>
  </si>
  <si>
    <t>Trace ID</t>
  </si>
  <si>
    <t>응답시간(초)</t>
  </si>
  <si>
    <t>Prompt token</t>
  </si>
  <si>
    <t>Completion token</t>
  </si>
  <si>
    <t>LLM 호출수</t>
  </si>
  <si>
    <t>검색횟수</t>
  </si>
  <si>
    <t>재시도</t>
  </si>
  <si>
    <t>완료여부</t>
  </si>
  <si>
    <t>수집상태</t>
  </si>
  <si>
    <t>작업유형</t>
  </si>
  <si>
    <t>evidence_id / task_id</t>
  </si>
  <si>
    <t>처리시간(초)</t>
  </si>
  <si>
    <t>오류</t>
  </si>
  <si>
    <t>계측상태</t>
  </si>
  <si>
    <t>구분</t>
  </si>
  <si>
    <t>설명</t>
  </si>
  <si>
    <t>평가 단위</t>
  </si>
  <si>
    <t>SC-001 S1~S8 전체 시나리오를 PoC 1회, E2E 1회 실행</t>
  </si>
  <si>
    <t>기존 품질평가</t>
  </si>
  <si>
    <t>원본의 단계별질문·단계별정답·채점입력·점수집계 시트를 그대로 유지</t>
  </si>
  <si>
    <t>품질 평가</t>
  </si>
  <si>
    <t>기존 Gold Set 판정 기준을 사용하며 법률 정확도와 처리 완료율을 혼동하지 않음</t>
  </si>
  <si>
    <t>성능 평가</t>
  </si>
  <si>
    <t>성능지표정의 → 평가실행관리 → 상담Trace원본/작업실행원본 → 성능결과비교</t>
  </si>
  <si>
    <t>수집 방식</t>
  </si>
  <si>
    <t>현재는 입력·집계 양식. Langfuse/PostgreSQL 자동 수집기 구현 후 원본 시트 자동 채움</t>
  </si>
  <si>
    <t>평가 시작/종료</t>
  </si>
  <si>
    <t>사건 ID와 시작·종료시각, 평가 세션 ID로 실행 범위 고정</t>
  </si>
  <si>
    <t>백그라운드</t>
  </si>
  <si>
    <t>추출·Graph 동기화는 종료 전에 완료 확인, Trace 누락 시 미측정</t>
  </si>
  <si>
    <t>공정 비교</t>
  </si>
  <si>
    <t>총 비용은 시나리오 단위, 응답시간·토큰은 질의 단위. 질문 수 차이 병기</t>
  </si>
  <si>
    <t>결과 해석</t>
  </si>
  <si>
    <t>품질 점수와 성능 지표를 분리 표기하며 임의 합산 점수 금지</t>
  </si>
  <si>
    <t>현재 상태</t>
  </si>
  <si>
    <t>실제 측정값은 아직 없으므로 비워둠. 예시 수치 입력하지 않음</t>
  </si>
  <si>
    <r>
      <t xml:space="preserve">chatgpt </t>
    </r>
    <r>
      <rPr>
        <sz val="11"/>
        <rFont val="바탕체"/>
        <charset val="134"/>
      </rPr>
      <t>분석</t>
    </r>
  </si>
  <si>
    <r>
      <t xml:space="preserve"># SC-001 </t>
    </r>
    <r>
      <rPr>
        <sz val="9.75"/>
        <rFont val="바탕체"/>
        <charset val="134"/>
      </rPr>
      <t>선순위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보호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상담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전제</t>
    </r>
    <r>
      <rPr>
        <sz val="9.75"/>
        <rFont val="Consolas"/>
        <charset val="134"/>
      </rPr>
      <t>·12</t>
    </r>
    <r>
      <rPr>
        <sz val="9.75"/>
        <rFont val="바탕체"/>
        <charset val="134"/>
      </rPr>
      <t>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응답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검토</t>
    </r>
  </si>
  <si>
    <r>
      <t xml:space="preserve">- </t>
    </r>
    <r>
      <rPr>
        <sz val="9.75"/>
        <rFont val="바탕체"/>
        <charset val="134"/>
      </rPr>
      <t>검토일</t>
    </r>
    <r>
      <rPr>
        <sz val="9.75"/>
        <rFont val="Consolas"/>
        <charset val="134"/>
      </rPr>
      <t xml:space="preserve">: 2026-11-01, </t>
    </r>
    <r>
      <rPr>
        <sz val="9.75"/>
        <rFont val="바탕체"/>
        <charset val="134"/>
      </rPr>
      <t>한국시간</t>
    </r>
  </si>
  <si>
    <r>
      <t xml:space="preserve">- </t>
    </r>
    <r>
      <rPr>
        <sz val="9.75"/>
        <rFont val="바탕체"/>
        <charset val="134"/>
      </rPr>
      <t>대상</t>
    </r>
    <r>
      <rPr>
        <sz val="9.75"/>
        <rFont val="Consolas"/>
        <charset val="134"/>
      </rPr>
      <t>: [Langfuse dae222e6-857b-4991-a78f-5c885f37c917](http://127.0.0.1:3001/project/cmv56sw2u00063wm9ivtyrtdj/traces/dae222e6-857b-4991-a78f-5c885f37c917?timestamp=2026-11-01T02%3A15%3A25.678Z)</t>
    </r>
  </si>
  <si>
    <r>
      <t xml:space="preserve">- </t>
    </r>
    <r>
      <rPr>
        <sz val="9.75"/>
        <rFont val="바탕체"/>
        <charset val="134"/>
      </rPr>
      <t>질문</t>
    </r>
    <r>
      <rPr>
        <sz val="9.75"/>
        <rFont val="Consolas"/>
        <charset val="134"/>
      </rPr>
      <t xml:space="preserve">: </t>
    </r>
    <r>
      <rPr>
        <sz val="9.75"/>
        <rFont val="바탕체"/>
        <charset val="134"/>
      </rPr>
      <t>은행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가압류</t>
    </r>
    <r>
      <rPr>
        <sz val="9.75"/>
        <rFont val="Consolas"/>
        <charset val="134"/>
      </rPr>
      <t xml:space="preserve"> 7,200</t>
    </r>
    <r>
      <rPr>
        <sz val="9.75"/>
        <rFont val="바탕체"/>
        <charset val="134"/>
      </rPr>
      <t>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원을</t>
    </r>
    <r>
      <rPr>
        <sz val="9.75"/>
        <rFont val="Consolas"/>
        <charset val="134"/>
      </rPr>
      <t xml:space="preserve"> 2026</t>
    </r>
    <r>
      <rPr>
        <sz val="9.75"/>
        <rFont val="바탕체"/>
        <charset val="134"/>
      </rPr>
      <t>년</t>
    </r>
    <r>
      <rPr>
        <sz val="9.75"/>
        <rFont val="Consolas"/>
        <charset val="134"/>
      </rPr>
      <t xml:space="preserve"> 8</t>
    </r>
    <r>
      <rPr>
        <sz val="9.75"/>
        <rFont val="바탕체"/>
        <charset val="134"/>
      </rPr>
      <t>월</t>
    </r>
    <r>
      <rPr>
        <sz val="9.75"/>
        <rFont val="Consolas"/>
        <charset val="134"/>
      </rPr>
      <t xml:space="preserve"> 12</t>
    </r>
    <r>
      <rPr>
        <sz val="9.75"/>
        <rFont val="바탕체"/>
        <charset val="134"/>
      </rPr>
      <t>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발견한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뒤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보증금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반환에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미치는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영향과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기존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권리분석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대응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재평가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</si>
  <si>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방법</t>
    </r>
    <r>
      <rPr>
        <sz val="9.75"/>
        <rFont val="Consolas"/>
        <charset val="134"/>
      </rPr>
      <t xml:space="preserve">: </t>
    </r>
    <r>
      <rPr>
        <sz val="9.75"/>
        <rFont val="바탕체"/>
        <charset val="134"/>
      </rPr>
      <t>로컬</t>
    </r>
    <r>
      <rPr>
        <sz val="9.75"/>
        <rFont val="Consolas"/>
        <charset val="134"/>
      </rPr>
      <t xml:space="preserve"> Langfuse API</t>
    </r>
    <r>
      <rPr>
        <sz val="9.75"/>
        <rFont val="바탕체"/>
        <charset val="134"/>
      </rPr>
      <t>에서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관측값을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읽고</t>
    </r>
    <r>
      <rPr>
        <sz val="9.75"/>
        <rFont val="Consolas"/>
        <charset val="134"/>
      </rPr>
      <t xml:space="preserve"> generation </t>
    </r>
    <r>
      <rPr>
        <sz val="9.75"/>
        <rFont val="바탕체"/>
        <charset val="134"/>
      </rPr>
      <t>입력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출력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노드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상태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및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현재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소스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대조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법률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설명은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국가법령정보센터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현행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조문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확인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</si>
  <si>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이번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검토에서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코드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추가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변경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서버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재시작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사건</t>
    </r>
    <r>
      <rPr>
        <sz val="9.75"/>
        <rFont val="Consolas"/>
        <charset val="134"/>
      </rPr>
      <t xml:space="preserve"> DB </t>
    </r>
    <r>
      <rPr>
        <sz val="9.75"/>
        <rFont val="바탕체"/>
        <charset val="134"/>
      </rPr>
      <t>변경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새</t>
    </r>
    <r>
      <rPr>
        <sz val="9.75"/>
        <rFont val="Consolas"/>
        <charset val="134"/>
      </rPr>
      <t xml:space="preserve"> Azure </t>
    </r>
    <r>
      <rPr>
        <sz val="9.75"/>
        <rFont val="바탕체"/>
        <charset val="134"/>
      </rPr>
      <t>모델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호출은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수행하지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않았다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이전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수정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작업과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외부에서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추가된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작업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파일은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보존했다</t>
    </r>
    <r>
      <rPr>
        <sz val="9.75"/>
        <rFont val="Consolas"/>
        <charset val="134"/>
      </rPr>
      <t>.</t>
    </r>
  </si>
  <si>
    <r>
      <t xml:space="preserve">## 1. </t>
    </r>
    <r>
      <rPr>
        <sz val="9.75"/>
        <rFont val="바탕체"/>
        <charset val="134"/>
      </rPr>
      <t>결론</t>
    </r>
  </si>
  <si>
    <r>
      <t>이번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실행은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마지막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답변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검증에서</t>
    </r>
    <r>
      <rPr>
        <sz val="9.75"/>
        <rFont val="Consolas"/>
        <charset val="134"/>
      </rPr>
      <t xml:space="preserve"> PASS, </t>
    </r>
    <r>
      <rPr>
        <sz val="9.75"/>
        <rFont val="바탕체"/>
        <charset val="134"/>
      </rPr>
      <t>최종</t>
    </r>
    <r>
      <rPr>
        <sz val="9.75"/>
        <rFont val="Consolas"/>
        <charset val="134"/>
      </rPr>
      <t xml:space="preserve"> CAUTIONARY</t>
    </r>
    <r>
      <rPr>
        <sz val="9.75"/>
        <rFont val="바탕체"/>
        <charset val="134"/>
      </rPr>
      <t>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반환했다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하지만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답변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내용과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시간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모두</t>
    </r>
    <r>
      <rPr>
        <sz val="9.75"/>
        <rFont val="Consolas"/>
        <charset val="134"/>
      </rPr>
      <t xml:space="preserve"> POC </t>
    </r>
    <r>
      <rPr>
        <sz val="9.75"/>
        <rFont val="바탕체"/>
        <charset val="134"/>
      </rPr>
      <t>성공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사례로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삼을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없다</t>
    </r>
    <r>
      <rPr>
        <sz val="9.75"/>
        <rFont val="Consolas"/>
        <charset val="134"/>
      </rPr>
      <t>.</t>
    </r>
  </si>
  <si>
    <r>
      <t xml:space="preserve">1. </t>
    </r>
    <r>
      <rPr>
        <sz val="9.75"/>
        <rFont val="바탕체"/>
        <charset val="134"/>
      </rPr>
      <t>후순위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가압류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때문에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임차인의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법적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우선순위가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낮아지는지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임대인의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자금사정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때문에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지급이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늦어질지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최종적으로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일부를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잃을지는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서로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다른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질문이다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답변은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이를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구분한다고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하면서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서두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결론에서는</t>
    </r>
    <r>
      <rPr>
        <sz val="9.75"/>
        <rFont val="Consolas"/>
        <charset val="134"/>
      </rPr>
      <t xml:space="preserve"> '</t>
    </r>
    <r>
      <rPr>
        <sz val="9.75"/>
        <rFont val="바탕체"/>
        <charset val="134"/>
      </rPr>
      <t>반환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위험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증가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다시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합친다</t>
    </r>
    <r>
      <rPr>
        <sz val="9.75"/>
        <rFont val="Consolas"/>
        <charset val="134"/>
      </rPr>
      <t>.</t>
    </r>
  </si>
  <si>
    <r>
      <t xml:space="preserve">2. </t>
    </r>
    <r>
      <rPr>
        <sz val="9.75"/>
        <rFont val="바탕체"/>
        <charset val="134"/>
      </rPr>
      <t>사용자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진술과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등록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자료를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상담의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전제로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활용하지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못하고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독립적인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공적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입증을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반복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요구한다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검증기는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질문에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명시된</t>
    </r>
    <r>
      <rPr>
        <sz val="9.75"/>
        <rFont val="Consolas"/>
        <charset val="134"/>
      </rPr>
      <t xml:space="preserve"> '</t>
    </r>
    <r>
      <rPr>
        <sz val="9.75"/>
        <rFont val="바탕체"/>
        <charset val="134"/>
      </rPr>
      <t>발견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까지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없다고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오독했다</t>
    </r>
    <r>
      <rPr>
        <sz val="9.75"/>
        <rFont val="Consolas"/>
        <charset val="134"/>
      </rPr>
      <t>.</t>
    </r>
  </si>
  <si>
    <r>
      <t xml:space="preserve">3. </t>
    </r>
    <r>
      <rPr>
        <sz val="9.75"/>
        <rFont val="바탕체"/>
        <charset val="134"/>
      </rPr>
      <t>추가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검색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수정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제한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답변이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각각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별도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반복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예산을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사용해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모델을</t>
    </r>
    <r>
      <rPr>
        <sz val="9.75"/>
        <rFont val="Consolas"/>
        <charset val="134"/>
      </rPr>
      <t xml:space="preserve"> 15</t>
    </r>
    <r>
      <rPr>
        <sz val="9.75"/>
        <rFont val="바탕체"/>
        <charset val="134"/>
      </rPr>
      <t>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순차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호출했다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총</t>
    </r>
    <r>
      <rPr>
        <sz val="9.75"/>
        <rFont val="Consolas"/>
        <charset val="134"/>
      </rPr>
      <t xml:space="preserve"> 12</t>
    </r>
    <r>
      <rPr>
        <sz val="9.75"/>
        <rFont val="바탕체"/>
        <charset val="134"/>
      </rPr>
      <t>분</t>
    </r>
    <r>
      <rPr>
        <sz val="9.75"/>
        <rFont val="Consolas"/>
        <charset val="134"/>
      </rPr>
      <t xml:space="preserve"> 7</t>
    </r>
    <r>
      <rPr>
        <sz val="9.75"/>
        <rFont val="바탕체"/>
        <charset val="134"/>
      </rPr>
      <t>초이며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승인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대기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간격을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제외해도</t>
    </r>
    <r>
      <rPr>
        <sz val="9.75"/>
        <rFont val="Consolas"/>
        <charset val="134"/>
      </rPr>
      <t xml:space="preserve"> 10</t>
    </r>
    <r>
      <rPr>
        <sz val="9.75"/>
        <rFont val="바탕체"/>
        <charset val="134"/>
      </rPr>
      <t>분</t>
    </r>
    <r>
      <rPr>
        <sz val="9.75"/>
        <rFont val="Consolas"/>
        <charset val="134"/>
      </rPr>
      <t xml:space="preserve"> 51</t>
    </r>
    <r>
      <rPr>
        <sz val="9.75"/>
        <rFont val="바탕체"/>
        <charset val="134"/>
      </rPr>
      <t>초다</t>
    </r>
    <r>
      <rPr>
        <sz val="9.75"/>
        <rFont val="Consolas"/>
        <charset val="134"/>
      </rPr>
      <t>.</t>
    </r>
  </si>
  <si>
    <r>
      <t>이전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분석에서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제안한</t>
    </r>
    <r>
      <rPr>
        <sz val="9.75"/>
        <rFont val="Consolas"/>
        <charset val="134"/>
      </rPr>
      <t xml:space="preserve"> '</t>
    </r>
    <r>
      <rPr>
        <sz val="9.75"/>
        <rFont val="바탕체"/>
        <charset val="134"/>
      </rPr>
      <t>추가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허용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과</t>
    </r>
    <r>
      <rPr>
        <sz val="9.75"/>
        <rFont val="Consolas"/>
        <charset val="134"/>
      </rPr>
      <t xml:space="preserve"> '</t>
    </r>
    <r>
      <rPr>
        <sz val="9.75"/>
        <rFont val="바탕체"/>
        <charset val="134"/>
      </rPr>
      <t>제한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답변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재검증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이번</t>
    </r>
    <r>
      <rPr>
        <sz val="9.75"/>
        <rFont val="Consolas"/>
        <charset val="134"/>
      </rPr>
      <t xml:space="preserve"> trace</t>
    </r>
    <r>
      <rPr>
        <sz val="9.75"/>
        <rFont val="바탕체"/>
        <charset val="134"/>
      </rPr>
      <t>에는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이미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실행되고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있다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그러나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전역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시간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호출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예산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붙은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복구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경로가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지연을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늘렸다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기능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연결만으로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답변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품질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개선이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입증된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것은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아니다</t>
    </r>
    <r>
      <rPr>
        <sz val="9.75"/>
        <rFont val="Consolas"/>
        <charset val="134"/>
      </rPr>
      <t>.</t>
    </r>
  </si>
  <si>
    <r>
      <t xml:space="preserve">## 2. </t>
    </r>
    <r>
      <rPr>
        <sz val="9.75"/>
        <rFont val="바탕체"/>
        <charset val="134"/>
      </rPr>
      <t>사용자의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첫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번째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지적</t>
    </r>
    <r>
      <rPr>
        <sz val="9.75"/>
        <rFont val="Consolas"/>
        <charset val="134"/>
      </rPr>
      <t xml:space="preserve">: </t>
    </r>
    <r>
      <rPr>
        <sz val="9.75"/>
        <rFont val="바탕체"/>
        <charset val="134"/>
      </rPr>
      <t>후발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가압류와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보증금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위험</t>
    </r>
  </si>
  <si>
    <r>
      <t xml:space="preserve">### </t>
    </r>
    <r>
      <rPr>
        <sz val="9.75"/>
        <rFont val="바탕체"/>
        <charset val="134"/>
      </rPr>
      <t>법적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순위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지급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지연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최종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손실을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분리해야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한다</t>
    </r>
  </si>
  <si>
    <r>
      <t>대항요건과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확정일자를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갖춘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임차인은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경매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공매에서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후순위권리자와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일반채권자보다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우선하여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보증금을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변제받을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권리가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있다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따라서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관련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요건을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먼저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갖추고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유지한다는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전제에서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나중에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일반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채권자의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가압류가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들어왔다는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사실만으로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임차인의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순위가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아래로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내려가지는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않는다</t>
    </r>
    <r>
      <rPr>
        <sz val="9.75"/>
        <rFont val="Consolas"/>
        <charset val="134"/>
      </rPr>
      <t>. [</t>
    </r>
    <r>
      <rPr>
        <sz val="9.75"/>
        <rFont val="바탕체"/>
        <charset val="134"/>
      </rPr>
      <t>주택임대차보호법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</t>
    </r>
    <r>
      <rPr>
        <sz val="9.75"/>
        <rFont val="Consolas"/>
        <charset val="134"/>
      </rPr>
      <t>3</t>
    </r>
    <r>
      <rPr>
        <sz val="9.75"/>
        <rFont val="바탕체"/>
        <charset val="134"/>
      </rPr>
      <t>조의</t>
    </r>
    <r>
      <rPr>
        <sz val="9.75"/>
        <rFont val="Consolas"/>
        <charset val="134"/>
      </rPr>
      <t xml:space="preserve">2 </t>
    </r>
    <r>
      <rPr>
        <sz val="9.75"/>
        <rFont val="바탕체"/>
        <charset val="134"/>
      </rPr>
      <t>제</t>
    </r>
    <r>
      <rPr>
        <sz val="9.75"/>
        <rFont val="Consolas"/>
        <charset val="134"/>
      </rPr>
      <t>2</t>
    </r>
    <r>
      <rPr>
        <sz val="9.75"/>
        <rFont val="바탕체"/>
        <charset val="134"/>
      </rPr>
      <t>항</t>
    </r>
    <r>
      <rPr>
        <sz val="9.75"/>
        <rFont val="Consolas"/>
        <charset val="134"/>
      </rPr>
      <t>](https://www.law.go.kr/</t>
    </r>
    <r>
      <rPr>
        <sz val="9.75"/>
        <rFont val="바탕체"/>
        <charset val="134"/>
      </rPr>
      <t>법령</t>
    </r>
    <r>
      <rPr>
        <sz val="9.75"/>
        <rFont val="Consolas"/>
        <charset val="134"/>
      </rPr>
      <t>/</t>
    </r>
    <r>
      <rPr>
        <sz val="9.75"/>
        <rFont val="바탕체"/>
        <charset val="134"/>
      </rPr>
      <t>주택임대차보호법</t>
    </r>
    <r>
      <rPr>
        <sz val="9.75"/>
        <rFont val="Consolas"/>
        <charset val="134"/>
      </rPr>
      <t>/</t>
    </r>
    <r>
      <rPr>
        <sz val="9.75"/>
        <rFont val="바탕체"/>
        <charset val="134"/>
      </rPr>
      <t>제</t>
    </r>
    <r>
      <rPr>
        <sz val="9.75"/>
        <rFont val="Consolas"/>
        <charset val="134"/>
      </rPr>
      <t>3</t>
    </r>
    <r>
      <rPr>
        <sz val="9.75"/>
        <rFont val="바탕체"/>
        <charset val="134"/>
      </rPr>
      <t>조의</t>
    </r>
    <r>
      <rPr>
        <sz val="9.75"/>
        <rFont val="Consolas"/>
        <charset val="134"/>
      </rPr>
      <t>2)</t>
    </r>
  </si>
  <si>
    <r>
      <t>확정일자만의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비교로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끝내서는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되고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주택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인도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주민등록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등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대항요건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및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유지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여부를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함께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보아야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한다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또한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경매에서는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보증금이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변제되지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대항력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있는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임차권의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존속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규정도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대상이므로</t>
    </r>
    <r>
      <rPr>
        <sz val="9.75"/>
        <rFont val="Consolas"/>
        <charset val="134"/>
      </rPr>
      <t>, '</t>
    </r>
    <r>
      <rPr>
        <sz val="9.75"/>
        <rFont val="바탕체"/>
        <charset val="134"/>
      </rPr>
      <t>채권자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증가</t>
    </r>
    <r>
      <rPr>
        <sz val="9.75"/>
        <rFont val="Consolas"/>
        <charset val="134"/>
      </rPr>
      <t xml:space="preserve"> → </t>
    </r>
    <r>
      <rPr>
        <sz val="9.75"/>
        <rFont val="바탕체"/>
        <charset val="134"/>
      </rPr>
      <t>일부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미회수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위험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증가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곧바로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연결할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없다</t>
    </r>
    <r>
      <rPr>
        <sz val="9.75"/>
        <rFont val="Consolas"/>
        <charset val="134"/>
      </rPr>
      <t>. [</t>
    </r>
    <r>
      <rPr>
        <sz val="9.75"/>
        <rFont val="바탕체"/>
        <charset val="134"/>
      </rPr>
      <t>주택임대차보호법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</t>
    </r>
    <r>
      <rPr>
        <sz val="9.75"/>
        <rFont val="Consolas"/>
        <charset val="134"/>
      </rPr>
      <t>3</t>
    </r>
    <r>
      <rPr>
        <sz val="9.75"/>
        <rFont val="바탕체"/>
        <charset val="134"/>
      </rPr>
      <t>조의</t>
    </r>
    <r>
      <rPr>
        <sz val="9.75"/>
        <rFont val="Consolas"/>
        <charset val="134"/>
      </rPr>
      <t>5](https://www.law.go.kr/</t>
    </r>
    <r>
      <rPr>
        <sz val="9.75"/>
        <rFont val="바탕체"/>
        <charset val="134"/>
      </rPr>
      <t>법령</t>
    </r>
    <r>
      <rPr>
        <sz val="9.75"/>
        <rFont val="Consolas"/>
        <charset val="134"/>
      </rPr>
      <t>/</t>
    </r>
    <r>
      <rPr>
        <sz val="9.75"/>
        <rFont val="바탕체"/>
        <charset val="134"/>
      </rPr>
      <t>주택임대차보호법</t>
    </r>
    <r>
      <rPr>
        <sz val="9.75"/>
        <rFont val="Consolas"/>
        <charset val="134"/>
      </rPr>
      <t>/</t>
    </r>
    <r>
      <rPr>
        <sz val="9.75"/>
        <rFont val="바탕체"/>
        <charset val="134"/>
      </rPr>
      <t>제</t>
    </r>
    <r>
      <rPr>
        <sz val="9.75"/>
        <rFont val="Consolas"/>
        <charset val="134"/>
      </rPr>
      <t>3</t>
    </r>
    <r>
      <rPr>
        <sz val="9.75"/>
        <rFont val="바탕체"/>
        <charset val="134"/>
      </rPr>
      <t>조의</t>
    </r>
    <r>
      <rPr>
        <sz val="9.75"/>
        <rFont val="Consolas"/>
        <charset val="134"/>
      </rPr>
      <t>5)</t>
    </r>
  </si>
  <si>
    <r>
      <t>한편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우선변제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지위를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갖췄다는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사실이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임대인의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약정일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자발적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지급이나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신속한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회수를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보장하지는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않는다</t>
    </r>
    <r>
      <rPr>
        <sz val="9.75"/>
        <rFont val="Consolas"/>
        <charset val="134"/>
      </rPr>
      <t>. **</t>
    </r>
    <r>
      <rPr>
        <sz val="9.75"/>
        <rFont val="바탕체"/>
        <charset val="134"/>
      </rPr>
      <t>이번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자료의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분할반환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제안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신규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임차인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보증금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의존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발언은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우려를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설명하는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정황</t>
    </r>
    <r>
      <rPr>
        <sz val="9.75"/>
        <rFont val="Consolas"/>
        <charset val="134"/>
      </rPr>
      <t>**</t>
    </r>
    <r>
      <rPr>
        <sz val="9.75"/>
        <rFont val="바탕체"/>
        <charset val="134"/>
      </rPr>
      <t>이다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이는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자료에서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도출한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추론이며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가압류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때문에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법적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순위가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낮아졌다는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의미가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아니다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최종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회수액에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대해서는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다른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우선권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목적물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가치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대항력과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인수관계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등을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별도로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검토해야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한다</t>
    </r>
    <r>
      <rPr>
        <sz val="9.75"/>
        <rFont val="Consolas"/>
        <charset val="134"/>
      </rPr>
      <t>.</t>
    </r>
  </si>
  <si>
    <r>
      <t xml:space="preserve">### </t>
    </r>
    <r>
      <rPr>
        <sz val="9.75"/>
        <rFont val="바탕체"/>
        <charset val="134"/>
      </rPr>
      <t>실제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답변에서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확인한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과장</t>
    </r>
  </si>
  <si>
    <r>
      <t xml:space="preserve">- </t>
    </r>
    <r>
      <rPr>
        <sz val="9.75"/>
        <rFont val="바탕체"/>
        <charset val="134"/>
      </rPr>
      <t>서두는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가압류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존재를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직접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원인으로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연결해</t>
    </r>
    <r>
      <rPr>
        <sz val="9.75"/>
        <rFont val="Consolas"/>
        <charset val="134"/>
      </rPr>
      <t xml:space="preserve"> '</t>
    </r>
    <r>
      <rPr>
        <sz val="9.75"/>
        <rFont val="바탕체"/>
        <charset val="134"/>
      </rPr>
      <t>보증금</t>
    </r>
    <r>
      <rPr>
        <sz val="9.75"/>
        <rFont val="Consolas"/>
        <charset val="134"/>
      </rPr>
      <t xml:space="preserve"> 3</t>
    </r>
    <r>
      <rPr>
        <sz val="9.75"/>
        <rFont val="바탕체"/>
        <charset val="134"/>
      </rPr>
      <t>억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원을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전액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반환받을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위험은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기존보다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커졌다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표현했다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문장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자체에도</t>
    </r>
    <r>
      <rPr>
        <sz val="9.75"/>
        <rFont val="Consolas"/>
        <charset val="134"/>
      </rPr>
      <t xml:space="preserve"> '</t>
    </r>
    <r>
      <rPr>
        <sz val="9.75"/>
        <rFont val="바탕체"/>
        <charset val="134"/>
      </rPr>
      <t>반환받지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못할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부정어가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빠져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있다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</si>
  <si>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본문은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이를</t>
    </r>
    <r>
      <rPr>
        <sz val="9.75"/>
        <rFont val="Consolas"/>
        <charset val="134"/>
      </rPr>
      <t xml:space="preserve"> '</t>
    </r>
    <r>
      <rPr>
        <sz val="9.75"/>
        <rFont val="바탕체"/>
        <charset val="134"/>
      </rPr>
      <t>회수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지연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일부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미회수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위험이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커졌다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확장했다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</si>
  <si>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우선변제에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관한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일반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조문을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소개했지만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사용자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아래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해당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후발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가압류와의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상대적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순위에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미치는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영향을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명료하게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먼저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답하지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않았다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</si>
  <si>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기존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분석과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현재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분석의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기준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시점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자료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집합을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명시하지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않아</t>
    </r>
    <r>
      <rPr>
        <sz val="9.75"/>
        <rFont val="Consolas"/>
        <charset val="134"/>
      </rPr>
      <t xml:space="preserve"> '</t>
    </r>
    <r>
      <rPr>
        <sz val="9.75"/>
        <rFont val="바탕체"/>
        <charset val="134"/>
      </rPr>
      <t>기존보다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커졌다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비교의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기준도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불명확하다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분할반환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제안과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호가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자료는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가압류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발견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이미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존재한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정황이다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</si>
  <si>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최종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위험</t>
    </r>
    <r>
      <rPr>
        <sz val="9.75"/>
        <rFont val="Consolas"/>
        <charset val="134"/>
      </rPr>
      <t xml:space="preserve"> claim</t>
    </r>
    <r>
      <rPr>
        <sz val="9.75"/>
        <rFont val="바탕체"/>
        <charset val="134"/>
      </rPr>
      <t>의</t>
    </r>
    <r>
      <rPr>
        <sz val="9.75"/>
        <rFont val="Consolas"/>
        <charset val="134"/>
      </rPr>
      <t xml:space="preserve"> inference_limit</t>
    </r>
    <r>
      <rPr>
        <sz val="9.75"/>
        <rFont val="바탕체"/>
        <charset val="134"/>
      </rPr>
      <t>에는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다른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문단의</t>
    </r>
    <r>
      <rPr>
        <sz val="9.75"/>
        <rFont val="Consolas"/>
        <charset val="134"/>
      </rPr>
      <t xml:space="preserve"> '</t>
    </r>
    <r>
      <rPr>
        <sz val="9.75"/>
        <rFont val="바탕체"/>
        <charset val="134"/>
      </rPr>
      <t>호가만으로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낙찰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예상액을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확정할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없다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문구가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연결됐다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한계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문구가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답변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어딘가에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존재한다는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검사만으로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위험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판단의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인과관계가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검증되지는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않는다</t>
    </r>
    <r>
      <rPr>
        <sz val="9.75"/>
        <rFont val="Consolas"/>
        <charset val="134"/>
      </rPr>
      <t>.</t>
    </r>
  </si>
  <si>
    <r>
      <t>따라서</t>
    </r>
    <r>
      <rPr>
        <sz val="9.75"/>
        <rFont val="Consolas"/>
        <charset val="134"/>
      </rPr>
      <t xml:space="preserve"> '</t>
    </r>
    <r>
      <rPr>
        <sz val="9.75"/>
        <rFont val="바탕체"/>
        <charset val="134"/>
      </rPr>
      <t>위험이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없다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바꿀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것도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아니고</t>
    </r>
    <r>
      <rPr>
        <sz val="9.75"/>
        <rFont val="Consolas"/>
        <charset val="134"/>
      </rPr>
      <t>, '</t>
    </r>
    <r>
      <rPr>
        <sz val="9.75"/>
        <rFont val="바탕체"/>
        <charset val="134"/>
      </rPr>
      <t>추론이므로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허용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것도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아니다</t>
    </r>
    <r>
      <rPr>
        <sz val="9.75"/>
        <rFont val="Consolas"/>
        <charset val="134"/>
      </rPr>
      <t>. **</t>
    </r>
    <r>
      <rPr>
        <sz val="9.75"/>
        <rFont val="바탕체"/>
        <charset val="134"/>
      </rPr>
      <t>해당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가압류와의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순위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영향은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조건을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적용해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명료하게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답하고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지급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정황을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별도로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설명하며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최종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손실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증가를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근거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덧붙이지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않아야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한다</t>
    </r>
    <r>
      <rPr>
        <sz val="9.75"/>
        <rFont val="Consolas"/>
        <charset val="134"/>
      </rPr>
      <t>.**</t>
    </r>
  </si>
  <si>
    <r>
      <t>상담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문장의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방향은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다음과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같다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이는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전제를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받아들인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조건부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설명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예시이며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사건의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모든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권리관계를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확정한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의견은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아니다</t>
    </r>
    <r>
      <rPr>
        <sz val="9.75"/>
        <rFont val="Consolas"/>
        <charset val="134"/>
      </rPr>
      <t>.</t>
    </r>
  </si>
  <si>
    <r>
      <t xml:space="preserve">&gt; </t>
    </r>
    <r>
      <rPr>
        <sz val="9.75"/>
        <rFont val="바탕체"/>
        <charset val="134"/>
      </rPr>
      <t>말씀하신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대로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가압류보다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먼저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대항요건과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확정일자를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갖추고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요건을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유지했다면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이번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은행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가압류만으로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보증금의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우선변제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순위가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낮아지는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것은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아닙니다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다만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임대인이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분할반환을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제안한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자료는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약속한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때에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지급하기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어려울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있다는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별도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정황입니다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순위가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유지되는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문제와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실제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지급이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지연될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있는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문제를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구분해야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하며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가압류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사실만으로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일부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보증금을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잃게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위험이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커졌다고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단정할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없습니다</t>
    </r>
    <r>
      <rPr>
        <sz val="9.75"/>
        <rFont val="Consolas"/>
        <charset val="134"/>
      </rPr>
      <t>.</t>
    </r>
  </si>
  <si>
    <r>
      <t xml:space="preserve">### </t>
    </r>
    <r>
      <rPr>
        <sz val="9.75"/>
        <rFont val="바탕체"/>
        <charset val="134"/>
      </rPr>
      <t>입력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전제의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차이</t>
    </r>
  </si>
  <si>
    <r>
      <t>사용자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메시지는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확정일자를</t>
    </r>
    <r>
      <rPr>
        <sz val="9.75"/>
        <rFont val="Consolas"/>
        <charset val="134"/>
      </rPr>
      <t xml:space="preserve"> 2022</t>
    </r>
    <r>
      <rPr>
        <sz val="9.75"/>
        <rFont val="바탕체"/>
        <charset val="134"/>
      </rPr>
      <t>년</t>
    </r>
    <r>
      <rPr>
        <sz val="9.75"/>
        <rFont val="Consolas"/>
        <charset val="134"/>
      </rPr>
      <t xml:space="preserve"> 4</t>
    </r>
    <r>
      <rPr>
        <sz val="9.75"/>
        <rFont val="바탕체"/>
        <charset val="134"/>
      </rPr>
      <t>월이라고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설명했지만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이번</t>
    </r>
    <r>
      <rPr>
        <sz val="9.75"/>
        <rFont val="Consolas"/>
        <charset val="134"/>
      </rPr>
      <t xml:space="preserve"> trace</t>
    </r>
    <r>
      <rPr>
        <sz val="9.75"/>
        <rFont val="바탕체"/>
        <charset val="134"/>
      </rPr>
      <t>의</t>
    </r>
    <r>
      <rPr>
        <sz val="9.75"/>
        <rFont val="Consolas"/>
        <charset val="134"/>
      </rPr>
      <t xml:space="preserve"> E03 </t>
    </r>
    <r>
      <rPr>
        <sz val="9.75"/>
        <rFont val="바탕체"/>
        <charset val="134"/>
      </rPr>
      <t>원문은</t>
    </r>
    <r>
      <rPr>
        <sz val="9.75"/>
        <rFont val="Consolas"/>
        <charset val="134"/>
      </rPr>
      <t xml:space="preserve"> **2022.02.22**, </t>
    </r>
    <r>
      <rPr>
        <sz val="9.75"/>
        <rFont val="바탕체"/>
        <charset val="134"/>
      </rPr>
      <t>입주는</t>
    </r>
    <r>
      <rPr>
        <sz val="9.75"/>
        <rFont val="Consolas"/>
        <charset val="134"/>
      </rPr>
      <t xml:space="preserve"> **2022.03.01**, </t>
    </r>
    <r>
      <rPr>
        <sz val="9.75"/>
        <rFont val="바탕체"/>
        <charset val="134"/>
      </rPr>
      <t>전입신고는</t>
    </r>
    <r>
      <rPr>
        <sz val="9.75"/>
        <rFont val="Consolas"/>
        <charset val="134"/>
      </rPr>
      <t xml:space="preserve"> **2022.03.02**</t>
    </r>
    <r>
      <rPr>
        <sz val="9.75"/>
        <rFont val="바탕체"/>
        <charset val="134"/>
      </rPr>
      <t>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답변은</t>
    </r>
    <r>
      <rPr>
        <sz val="9.75"/>
        <rFont val="Consolas"/>
        <charset val="134"/>
      </rPr>
      <t xml:space="preserve"> E03</t>
    </r>
    <r>
      <rPr>
        <sz val="9.75"/>
        <rFont val="바탕체"/>
        <charset val="134"/>
      </rPr>
      <t>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날짜를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사용했다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이번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질문과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증거의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기준을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맞춰야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하며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어느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한쪽을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임의로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덮어쓰면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된다</t>
    </r>
    <r>
      <rPr>
        <sz val="9.75"/>
        <rFont val="Consolas"/>
        <charset val="134"/>
      </rPr>
      <t>.</t>
    </r>
  </si>
  <si>
    <r>
      <t>또한</t>
    </r>
    <r>
      <rPr>
        <sz val="9.75"/>
        <rFont val="Consolas"/>
        <charset val="134"/>
      </rPr>
      <t xml:space="preserve"> trace</t>
    </r>
    <r>
      <rPr>
        <sz val="9.75"/>
        <rFont val="바탕체"/>
        <charset val="134"/>
      </rPr>
      <t>에는</t>
    </r>
    <r>
      <rPr>
        <sz val="9.75"/>
        <rFont val="Consolas"/>
        <charset val="134"/>
      </rPr>
      <t xml:space="preserve"> E05</t>
    </r>
    <r>
      <rPr>
        <sz val="9.75"/>
        <rFont val="바탕체"/>
        <charset val="134"/>
      </rPr>
      <t>의</t>
    </r>
    <r>
      <rPr>
        <sz val="9.75"/>
        <rFont val="Consolas"/>
        <charset val="134"/>
      </rPr>
      <t xml:space="preserve"> 2026.04.01 </t>
    </r>
    <r>
      <rPr>
        <sz val="9.75"/>
        <rFont val="바탕체"/>
        <charset val="134"/>
      </rPr>
      <t>통지와</t>
    </r>
    <r>
      <rPr>
        <sz val="9.75"/>
        <rFont val="Consolas"/>
        <charset val="134"/>
      </rPr>
      <t xml:space="preserve"> 2026.09.30 </t>
    </r>
    <r>
      <rPr>
        <sz val="9.75"/>
        <rFont val="바탕체"/>
        <charset val="134"/>
      </rPr>
      <t>퇴거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반환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요청도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들어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있다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따라서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현재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계약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상태를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단순히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묵시적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갱신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유지로만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확정해서도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된다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다만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해지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문제와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후발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가압류에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대한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상대적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우선순위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판단은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구별해서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설명해야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한다</t>
    </r>
    <r>
      <rPr>
        <sz val="9.75"/>
        <rFont val="Consolas"/>
        <charset val="134"/>
      </rPr>
      <t>.</t>
    </r>
  </si>
  <si>
    <r>
      <t xml:space="preserve">## 3. </t>
    </r>
    <r>
      <rPr>
        <sz val="9.75"/>
        <rFont val="바탕체"/>
        <charset val="134"/>
      </rPr>
      <t>사용자의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번째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지적</t>
    </r>
    <r>
      <rPr>
        <sz val="9.75"/>
        <rFont val="Consolas"/>
        <charset val="134"/>
      </rPr>
      <t xml:space="preserve">: </t>
    </r>
    <r>
      <rPr>
        <sz val="9.75"/>
        <rFont val="바탕체"/>
        <charset val="134"/>
      </rPr>
      <t>등록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사실을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어떻게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받아들일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것인가</t>
    </r>
  </si>
  <si>
    <r>
      <t xml:space="preserve">### </t>
    </r>
    <r>
      <rPr>
        <sz val="9.75"/>
        <rFont val="바탕체"/>
        <charset val="134"/>
      </rPr>
      <t>상담의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전제로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받아들이는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정책이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필요하다</t>
    </r>
  </si>
  <si>
    <r>
      <t>사용자가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말한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사실을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모두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재입증해야만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상담할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있다면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제품이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역할을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못한다</t>
    </r>
    <r>
      <rPr>
        <sz val="9.75"/>
        <rFont val="Consolas"/>
        <charset val="134"/>
      </rPr>
      <t>. **</t>
    </r>
    <r>
      <rPr>
        <sz val="9.75"/>
        <rFont val="바탕체"/>
        <charset val="134"/>
      </rPr>
      <t>사용자가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등록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확인한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사실과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진술은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출처를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보존한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상담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전제로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사용하고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실질적인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모순이나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결론을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바꾸는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누락이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있을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때만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확인을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요구하는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방향이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적절하다</t>
    </r>
    <r>
      <rPr>
        <sz val="9.75"/>
        <rFont val="Consolas"/>
        <charset val="134"/>
      </rPr>
      <t>.**</t>
    </r>
  </si>
  <si>
    <r>
      <t>다만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등록된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주장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자체를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법원에서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확정된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사실이나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공적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원본으로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표시하는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것은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별개다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내부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데이터의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출처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구분은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유지하되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그것이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매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문장마다</t>
    </r>
    <r>
      <rPr>
        <sz val="9.75"/>
        <rFont val="Consolas"/>
        <charset val="134"/>
      </rPr>
      <t xml:space="preserve"> '</t>
    </r>
    <r>
      <rPr>
        <sz val="9.75"/>
        <rFont val="바탕체"/>
        <charset val="134"/>
      </rPr>
      <t>진술에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불과하다</t>
    </r>
    <r>
      <rPr>
        <sz val="9.75"/>
        <rFont val="Consolas"/>
        <charset val="134"/>
      </rPr>
      <t>', '</t>
    </r>
    <r>
      <rPr>
        <sz val="9.75"/>
        <rFont val="바탕체"/>
        <charset val="134"/>
      </rPr>
      <t>확인할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없다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붙이는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이유가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되어서는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된다</t>
    </r>
    <r>
      <rPr>
        <sz val="9.75"/>
        <rFont val="Consolas"/>
        <charset val="134"/>
      </rPr>
      <t>.</t>
    </r>
  </si>
  <si>
    <r>
      <t xml:space="preserve">| </t>
    </r>
    <r>
      <rPr>
        <sz val="9.75"/>
        <rFont val="바탕체"/>
        <charset val="134"/>
      </rPr>
      <t>입력</t>
    </r>
    <r>
      <rPr>
        <sz val="9.75"/>
        <rFont val="Consolas"/>
        <charset val="134"/>
      </rPr>
      <t xml:space="preserve"> | </t>
    </r>
    <r>
      <rPr>
        <sz val="9.75"/>
        <rFont val="바탕체"/>
        <charset val="134"/>
      </rPr>
      <t>상담에서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사용할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방식</t>
    </r>
    <r>
      <rPr>
        <sz val="9.75"/>
        <rFont val="Consolas"/>
        <charset val="134"/>
      </rPr>
      <t xml:space="preserve"> | </t>
    </r>
    <r>
      <rPr>
        <sz val="9.75"/>
        <rFont val="바탕체"/>
        <charset val="134"/>
      </rPr>
      <t>재확인이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필요한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경우</t>
    </r>
    <r>
      <rPr>
        <sz val="9.75"/>
        <rFont val="Consolas"/>
        <charset val="134"/>
      </rPr>
      <t xml:space="preserve"> |</t>
    </r>
  </si>
  <si>
    <t>|---|---|---|</t>
  </si>
  <si>
    <r>
      <t xml:space="preserve">| </t>
    </r>
    <r>
      <rPr>
        <sz val="9.75"/>
        <rFont val="바탕체"/>
        <charset val="134"/>
      </rPr>
      <t>등록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계약서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이체내역</t>
    </r>
    <r>
      <rPr>
        <sz val="9.75"/>
        <rFont val="Consolas"/>
        <charset val="134"/>
      </rPr>
      <t xml:space="preserve"> | </t>
    </r>
    <r>
      <rPr>
        <sz val="9.75"/>
        <rFont val="바탕체"/>
        <charset val="134"/>
      </rPr>
      <t>문서에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기재된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계약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내용과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방향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금액을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전제로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분석</t>
    </r>
    <r>
      <rPr>
        <sz val="9.75"/>
        <rFont val="Consolas"/>
        <charset val="134"/>
      </rPr>
      <t xml:space="preserve"> | </t>
    </r>
    <r>
      <rPr>
        <sz val="9.75"/>
        <rFont val="바탕체"/>
        <charset val="134"/>
      </rPr>
      <t>다른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자료와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금액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당사자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시점이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실질적으로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충돌할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때</t>
    </r>
    <r>
      <rPr>
        <sz val="9.75"/>
        <rFont val="Consolas"/>
        <charset val="134"/>
      </rPr>
      <t xml:space="preserve"> |</t>
    </r>
  </si>
  <si>
    <r>
      <t xml:space="preserve">| </t>
    </r>
    <r>
      <rPr>
        <sz val="9.75"/>
        <rFont val="바탕체"/>
        <charset val="134"/>
      </rPr>
      <t>사용자가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직접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말한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거주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발견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등의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사실</t>
    </r>
    <r>
      <rPr>
        <sz val="9.75"/>
        <rFont val="Consolas"/>
        <charset val="134"/>
      </rPr>
      <t xml:space="preserve"> | </t>
    </r>
    <r>
      <rPr>
        <sz val="9.75"/>
        <rFont val="바탕체"/>
        <charset val="134"/>
      </rPr>
      <t>사용자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제공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사실로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받아들여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전제에서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설명</t>
    </r>
    <r>
      <rPr>
        <sz val="9.75"/>
        <rFont val="Consolas"/>
        <charset val="134"/>
      </rPr>
      <t xml:space="preserve"> | </t>
    </r>
    <r>
      <rPr>
        <sz val="9.75"/>
        <rFont val="바탕체"/>
        <charset val="134"/>
      </rPr>
      <t>반대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자료가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있거나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현재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상태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변화가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결론을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바꿀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때</t>
    </r>
    <r>
      <rPr>
        <sz val="9.75"/>
        <rFont val="Consolas"/>
        <charset val="134"/>
      </rPr>
      <t xml:space="preserve"> |</t>
    </r>
  </si>
  <si>
    <r>
      <t xml:space="preserve">| </t>
    </r>
    <r>
      <rPr>
        <sz val="9.75"/>
        <rFont val="바탕체"/>
        <charset val="134"/>
      </rPr>
      <t>증거의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메모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진술서</t>
    </r>
    <r>
      <rPr>
        <sz val="9.75"/>
        <rFont val="Consolas"/>
        <charset val="134"/>
      </rPr>
      <t xml:space="preserve"> | </t>
    </r>
    <r>
      <rPr>
        <sz val="9.75"/>
        <rFont val="바탕체"/>
        <charset val="134"/>
      </rPr>
      <t>해당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출처에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기재된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내용으로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활용</t>
    </r>
    <r>
      <rPr>
        <sz val="9.75"/>
        <rFont val="Consolas"/>
        <charset val="134"/>
      </rPr>
      <t xml:space="preserve"> | </t>
    </r>
    <r>
      <rPr>
        <sz val="9.75"/>
        <rFont val="바탕체"/>
        <charset val="134"/>
      </rPr>
      <t>메모가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다루지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범위를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확정해야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때</t>
    </r>
    <r>
      <rPr>
        <sz val="9.75"/>
        <rFont val="Consolas"/>
        <charset val="134"/>
      </rPr>
      <t xml:space="preserve"> |</t>
    </r>
  </si>
  <si>
    <r>
      <t xml:space="preserve">| </t>
    </r>
    <r>
      <rPr>
        <sz val="9.75"/>
        <rFont val="바탕체"/>
        <charset val="134"/>
      </rPr>
      <t>상대방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발언을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기록한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문서</t>
    </r>
    <r>
      <rPr>
        <sz val="9.75"/>
        <rFont val="Consolas"/>
        <charset val="134"/>
      </rPr>
      <t xml:space="preserve"> | </t>
    </r>
    <r>
      <rPr>
        <sz val="9.75"/>
        <rFont val="바탕체"/>
        <charset val="134"/>
      </rPr>
      <t>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발언이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있었다는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사실과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발언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내용의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진실을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구분</t>
    </r>
    <r>
      <rPr>
        <sz val="9.75"/>
        <rFont val="Consolas"/>
        <charset val="134"/>
      </rPr>
      <t xml:space="preserve"> | </t>
    </r>
    <r>
      <rPr>
        <sz val="9.75"/>
        <rFont val="바탕체"/>
        <charset val="134"/>
      </rPr>
      <t>상대방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주장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자체를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사건의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확정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사실로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적용하려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때</t>
    </r>
    <r>
      <rPr>
        <sz val="9.75"/>
        <rFont val="Consolas"/>
        <charset val="134"/>
      </rPr>
      <t xml:space="preserve"> |</t>
    </r>
  </si>
  <si>
    <r>
      <t xml:space="preserve">| AI </t>
    </r>
    <r>
      <rPr>
        <sz val="9.75"/>
        <rFont val="바탕체"/>
        <charset val="134"/>
      </rPr>
      <t>추출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추론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과거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답변</t>
    </r>
    <r>
      <rPr>
        <sz val="9.75"/>
        <rFont val="Consolas"/>
        <charset val="134"/>
      </rPr>
      <t xml:space="preserve"> | </t>
    </r>
    <r>
      <rPr>
        <sz val="9.75"/>
        <rFont val="바탕체"/>
        <charset val="134"/>
      </rPr>
      <t>원문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대조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대상</t>
    </r>
    <r>
      <rPr>
        <sz val="9.75"/>
        <rFont val="Consolas"/>
        <charset val="134"/>
      </rPr>
      <t xml:space="preserve"> | </t>
    </r>
    <r>
      <rPr>
        <sz val="9.75"/>
        <rFont val="바탕체"/>
        <charset val="134"/>
      </rPr>
      <t>등록되었다는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이유만으로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증거와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동등하게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승격하지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않음</t>
    </r>
    <r>
      <rPr>
        <sz val="9.75"/>
        <rFont val="Consolas"/>
        <charset val="134"/>
      </rPr>
      <t xml:space="preserve"> |</t>
    </r>
  </si>
  <si>
    <r>
      <t>예를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들어</t>
    </r>
    <r>
      <rPr>
        <sz val="9.75"/>
        <rFont val="Consolas"/>
        <charset val="134"/>
      </rPr>
      <t xml:space="preserve"> E11</t>
    </r>
    <r>
      <rPr>
        <sz val="9.75"/>
        <rFont val="바탕체"/>
        <charset val="134"/>
      </rPr>
      <t>의</t>
    </r>
    <r>
      <rPr>
        <sz val="9.75"/>
        <rFont val="Consolas"/>
        <charset val="134"/>
      </rPr>
      <t xml:space="preserve"> '</t>
    </r>
    <r>
      <rPr>
        <sz val="9.75"/>
        <rFont val="바탕체"/>
        <charset val="134"/>
      </rPr>
      <t>열람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메모상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을구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근저당권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기재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없음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범위의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분석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전제로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활용할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있다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그러나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문서가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확인하지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않았다고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적은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조세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체납까지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없다는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사실로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확대할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없다</t>
    </r>
    <r>
      <rPr>
        <sz val="9.75"/>
        <rFont val="Consolas"/>
        <charset val="134"/>
      </rPr>
      <t>.</t>
    </r>
  </si>
  <si>
    <r>
      <t xml:space="preserve">### </t>
    </r>
    <r>
      <rPr>
        <sz val="9.75"/>
        <rFont val="바탕체"/>
        <charset val="134"/>
      </rPr>
      <t>이번</t>
    </r>
    <r>
      <rPr>
        <sz val="9.75"/>
        <rFont val="Consolas"/>
        <charset val="134"/>
      </rPr>
      <t xml:space="preserve"> trace</t>
    </r>
    <r>
      <rPr>
        <sz val="9.75"/>
        <rFont val="바탕체"/>
        <charset val="134"/>
      </rPr>
      <t>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명확한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오독</t>
    </r>
  </si>
  <si>
    <r>
      <t xml:space="preserve">02:18:00Z </t>
    </r>
    <r>
      <rPr>
        <sz val="9.75"/>
        <rFont val="바탕체"/>
        <charset val="134"/>
      </rPr>
      <t>검증은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사용자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질문에</t>
    </r>
    <r>
      <rPr>
        <sz val="9.75"/>
        <rFont val="Consolas"/>
        <charset val="134"/>
      </rPr>
      <t xml:space="preserve"> 8</t>
    </r>
    <r>
      <rPr>
        <sz val="9.75"/>
        <rFont val="바탕체"/>
        <charset val="134"/>
      </rPr>
      <t>월</t>
    </r>
    <r>
      <rPr>
        <sz val="9.75"/>
        <rFont val="Consolas"/>
        <charset val="134"/>
      </rPr>
      <t xml:space="preserve"> 12</t>
    </r>
    <r>
      <rPr>
        <sz val="9.75"/>
        <rFont val="바탕체"/>
        <charset val="134"/>
      </rPr>
      <t>일이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발견인지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접수일인지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명시되지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않았다고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설명했다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실제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질문은</t>
    </r>
    <r>
      <rPr>
        <sz val="9.75"/>
        <rFont val="Consolas"/>
        <charset val="134"/>
      </rPr>
      <t xml:space="preserve"> '2026</t>
    </r>
    <r>
      <rPr>
        <sz val="9.75"/>
        <rFont val="바탕체"/>
        <charset val="134"/>
      </rPr>
      <t>년</t>
    </r>
    <r>
      <rPr>
        <sz val="9.75"/>
        <rFont val="Consolas"/>
        <charset val="134"/>
      </rPr>
      <t xml:space="preserve"> 8</t>
    </r>
    <r>
      <rPr>
        <sz val="9.75"/>
        <rFont val="바탕체"/>
        <charset val="134"/>
      </rPr>
      <t>월</t>
    </r>
    <r>
      <rPr>
        <sz val="9.75"/>
        <rFont val="Consolas"/>
        <charset val="134"/>
      </rPr>
      <t xml:space="preserve"> 12</t>
    </r>
    <r>
      <rPr>
        <sz val="9.75"/>
        <rFont val="바탕체"/>
        <charset val="134"/>
      </rPr>
      <t>일</t>
    </r>
    <r>
      <rPr>
        <sz val="9.75"/>
        <rFont val="Consolas"/>
        <charset val="134"/>
      </rPr>
      <t xml:space="preserve"> ... </t>
    </r>
    <r>
      <rPr>
        <sz val="9.75"/>
        <rFont val="바탕체"/>
        <charset val="134"/>
      </rPr>
      <t>발견했습니다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다</t>
    </r>
    <r>
      <rPr>
        <sz val="9.75"/>
        <rFont val="Consolas"/>
        <charset val="134"/>
      </rPr>
      <t>.</t>
    </r>
  </si>
  <si>
    <r>
      <t>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오류는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단순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표현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취향이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아니다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질문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원문을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사실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입력으로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읽지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못한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오류이며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발견일을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없다고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고치라는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잘못된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수정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지침을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발생시켰다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보존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목록에는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발견일</t>
    </r>
    <r>
      <rPr>
        <sz val="9.75"/>
        <rFont val="Consolas"/>
        <charset val="134"/>
      </rPr>
      <t>/</t>
    </r>
    <r>
      <rPr>
        <sz val="9.75"/>
        <rFont val="바탕체"/>
        <charset val="134"/>
      </rPr>
      <t>접수일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구분을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유지하라는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지침이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동시에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남아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작성자가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상충하는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요구를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받았다</t>
    </r>
    <r>
      <rPr>
        <sz val="9.75"/>
        <rFont val="Consolas"/>
        <charset val="134"/>
      </rPr>
      <t>.</t>
    </r>
  </si>
  <si>
    <r>
      <t>현재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작성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입력의</t>
    </r>
    <r>
      <rPr>
        <sz val="9.75"/>
        <rFont val="Consolas"/>
        <charset val="134"/>
      </rPr>
      <t xml:space="preserve"> '</t>
    </r>
    <r>
      <rPr>
        <sz val="9.75"/>
        <rFont val="바탕체"/>
        <charset val="134"/>
      </rPr>
      <t>이전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사용자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발언</t>
    </r>
    <r>
      <rPr>
        <sz val="9.75"/>
        <rFont val="Consolas"/>
        <charset val="134"/>
      </rPr>
      <t>(</t>
    </r>
    <r>
      <rPr>
        <sz val="9.75"/>
        <rFont val="바탕체"/>
        <charset val="134"/>
      </rPr>
      <t>미입증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진술</t>
    </r>
    <r>
      <rPr>
        <sz val="9.75"/>
        <rFont val="Consolas"/>
        <charset val="134"/>
      </rPr>
      <t>)'</t>
    </r>
    <r>
      <rPr>
        <sz val="9.75"/>
        <rFont val="바탕체"/>
        <charset val="134"/>
      </rPr>
      <t>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검증의</t>
    </r>
    <r>
      <rPr>
        <sz val="9.75"/>
        <rFont val="Consolas"/>
        <charset val="134"/>
      </rPr>
      <t xml:space="preserve"> '</t>
    </r>
    <r>
      <rPr>
        <sz val="9.75"/>
        <rFont val="바탕체"/>
        <charset val="134"/>
      </rPr>
      <t>검토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승인은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내용의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진실성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확인이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아님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출처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표시를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위한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문구지만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모델이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상담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전제까지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부정하도록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과하게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적용하고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있다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수정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시에는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다음을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구별해야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한다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</si>
  <si>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상담에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사용하는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사실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전제의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채택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</si>
  <si>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문서의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출처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확인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수준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</si>
  <si>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전제에서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도출되는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법률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결론의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근거</t>
    </r>
    <r>
      <rPr>
        <sz val="9.75"/>
        <rFont val="Consolas"/>
        <charset val="134"/>
      </rPr>
      <t>.</t>
    </r>
  </si>
  <si>
    <r>
      <t xml:space="preserve">## 4. </t>
    </r>
    <r>
      <rPr>
        <sz val="9.75"/>
        <rFont val="바탕체"/>
        <charset val="134"/>
      </rPr>
      <t>사용자의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번째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지적</t>
    </r>
    <r>
      <rPr>
        <sz val="9.75"/>
        <rFont val="Consolas"/>
        <charset val="134"/>
      </rPr>
      <t>: 12</t>
    </r>
    <r>
      <rPr>
        <sz val="9.75"/>
        <rFont val="바탕체"/>
        <charset val="134"/>
      </rPr>
      <t>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이상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걸린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이유</t>
    </r>
  </si>
  <si>
    <r>
      <t xml:space="preserve">### </t>
    </r>
    <r>
      <rPr>
        <sz val="9.75"/>
        <rFont val="바탕체"/>
        <charset val="134"/>
      </rPr>
      <t>실제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시간</t>
    </r>
  </si>
  <si>
    <r>
      <t xml:space="preserve">| </t>
    </r>
    <r>
      <rPr>
        <sz val="9.75"/>
        <rFont val="바탕체"/>
        <charset val="134"/>
      </rPr>
      <t>항목</t>
    </r>
    <r>
      <rPr>
        <sz val="9.75"/>
        <rFont val="Consolas"/>
        <charset val="134"/>
      </rPr>
      <t xml:space="preserve"> | </t>
    </r>
    <r>
      <rPr>
        <sz val="9.75"/>
        <rFont val="바탕체"/>
        <charset val="134"/>
      </rPr>
      <t>값</t>
    </r>
    <r>
      <rPr>
        <sz val="9.75"/>
        <rFont val="Consolas"/>
        <charset val="134"/>
      </rPr>
      <t xml:space="preserve"> |</t>
    </r>
  </si>
  <si>
    <t>|---|---:|</t>
  </si>
  <si>
    <r>
      <t xml:space="preserve">| </t>
    </r>
    <r>
      <rPr>
        <sz val="9.75"/>
        <rFont val="바탕체"/>
        <charset val="134"/>
      </rPr>
      <t>최초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실행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시작</t>
    </r>
    <r>
      <rPr>
        <sz val="9.75"/>
        <rFont val="Consolas"/>
        <charset val="134"/>
      </rPr>
      <t xml:space="preserve"> | 2026-11-01 11:12:43.591 KST |</t>
    </r>
  </si>
  <si>
    <r>
      <t xml:space="preserve">| </t>
    </r>
    <r>
      <rPr>
        <sz val="9.75"/>
        <rFont val="바탕체"/>
        <charset val="134"/>
      </rPr>
      <t>최종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반환</t>
    </r>
    <r>
      <rPr>
        <sz val="9.75"/>
        <rFont val="Consolas"/>
        <charset val="134"/>
      </rPr>
      <t xml:space="preserve"> | 2026-11-01 11:24:50.608 KST |</t>
    </r>
  </si>
  <si>
    <r>
      <t xml:space="preserve">| </t>
    </r>
    <r>
      <rPr>
        <sz val="9.75"/>
        <rFont val="바탕체"/>
        <charset val="134"/>
      </rPr>
      <t>전체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경과</t>
    </r>
    <r>
      <rPr>
        <sz val="9.75"/>
        <rFont val="Consolas"/>
        <charset val="134"/>
      </rPr>
      <t xml:space="preserve"> | 727.017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= 12</t>
    </r>
    <r>
      <rPr>
        <sz val="9.75"/>
        <rFont val="바탕체"/>
        <charset val="134"/>
      </rPr>
      <t>분</t>
    </r>
    <r>
      <rPr>
        <sz val="9.75"/>
        <rFont val="Consolas"/>
        <charset val="134"/>
      </rPr>
      <t xml:space="preserve"> 7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|</t>
    </r>
  </si>
  <si>
    <r>
      <t xml:space="preserve">| </t>
    </r>
    <r>
      <rPr>
        <sz val="9.75"/>
        <rFont val="바탕체"/>
        <charset val="134"/>
      </rPr>
      <t>승인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상위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실행</t>
    </r>
    <r>
      <rPr>
        <sz val="9.75"/>
        <rFont val="Consolas"/>
        <charset val="134"/>
      </rPr>
      <t xml:space="preserve"> span </t>
    </r>
    <r>
      <rPr>
        <sz val="9.75"/>
        <rFont val="바탕체"/>
        <charset val="134"/>
      </rPr>
      <t>사이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간격</t>
    </r>
    <r>
      <rPr>
        <sz val="9.75"/>
        <rFont val="Consolas"/>
        <charset val="134"/>
      </rPr>
      <t xml:space="preserve"> | 75.956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= </t>
    </r>
    <r>
      <rPr>
        <sz val="9.75"/>
        <rFont val="바탕체"/>
        <charset val="134"/>
      </rPr>
      <t>약</t>
    </r>
    <r>
      <rPr>
        <sz val="9.75"/>
        <rFont val="Consolas"/>
        <charset val="134"/>
      </rPr>
      <t xml:space="preserve"> 1</t>
    </r>
    <r>
      <rPr>
        <sz val="9.75"/>
        <rFont val="바탕체"/>
        <charset val="134"/>
      </rPr>
      <t>분</t>
    </r>
    <r>
      <rPr>
        <sz val="9.75"/>
        <rFont val="Consolas"/>
        <charset val="134"/>
      </rPr>
      <t xml:space="preserve"> 16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|</t>
    </r>
  </si>
  <si>
    <r>
      <t xml:space="preserve">| </t>
    </r>
    <r>
      <rPr>
        <sz val="9.75"/>
        <rFont val="바탕체"/>
        <charset val="134"/>
      </rPr>
      <t>상위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실행</t>
    </r>
    <r>
      <rPr>
        <sz val="9.75"/>
        <rFont val="Consolas"/>
        <charset val="134"/>
      </rPr>
      <t xml:space="preserve"> span </t>
    </r>
    <r>
      <rPr>
        <sz val="9.75"/>
        <rFont val="바탕체"/>
        <charset val="134"/>
      </rPr>
      <t>합계</t>
    </r>
    <r>
      <rPr>
        <sz val="9.75"/>
        <rFont val="Consolas"/>
        <charset val="134"/>
      </rPr>
      <t xml:space="preserve"> | 651.061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= </t>
    </r>
    <r>
      <rPr>
        <sz val="9.75"/>
        <rFont val="바탕체"/>
        <charset val="134"/>
      </rPr>
      <t>약</t>
    </r>
    <r>
      <rPr>
        <sz val="9.75"/>
        <rFont val="Consolas"/>
        <charset val="134"/>
      </rPr>
      <t xml:space="preserve"> 10</t>
    </r>
    <r>
      <rPr>
        <sz val="9.75"/>
        <rFont val="바탕체"/>
        <charset val="134"/>
      </rPr>
      <t>분</t>
    </r>
    <r>
      <rPr>
        <sz val="9.75"/>
        <rFont val="Consolas"/>
        <charset val="134"/>
      </rPr>
      <t xml:space="preserve"> 51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|</t>
    </r>
  </si>
  <si>
    <r>
      <t xml:space="preserve">| </t>
    </r>
    <r>
      <rPr>
        <sz val="9.75"/>
        <rFont val="바탕체"/>
        <charset val="134"/>
      </rPr>
      <t>모델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호출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구간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합계</t>
    </r>
    <r>
      <rPr>
        <sz val="9.75"/>
        <rFont val="Consolas"/>
        <charset val="134"/>
      </rPr>
      <t xml:space="preserve"> | 641.991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= </t>
    </r>
    <r>
      <rPr>
        <sz val="9.75"/>
        <rFont val="바탕체"/>
        <charset val="134"/>
      </rPr>
      <t>약</t>
    </r>
    <r>
      <rPr>
        <sz val="9.75"/>
        <rFont val="Consolas"/>
        <charset val="134"/>
      </rPr>
      <t xml:space="preserve"> 10</t>
    </r>
    <r>
      <rPr>
        <sz val="9.75"/>
        <rFont val="바탕체"/>
        <charset val="134"/>
      </rPr>
      <t>분</t>
    </r>
    <r>
      <rPr>
        <sz val="9.75"/>
        <rFont val="Consolas"/>
        <charset val="134"/>
      </rPr>
      <t xml:space="preserve"> 42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|</t>
    </r>
  </si>
  <si>
    <r>
      <t xml:space="preserve">| </t>
    </r>
    <r>
      <rPr>
        <sz val="9.75"/>
        <rFont val="바탕체"/>
        <charset val="134"/>
      </rPr>
      <t>공식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노드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합계</t>
    </r>
    <r>
      <rPr>
        <sz val="9.75"/>
        <rFont val="Consolas"/>
        <charset val="134"/>
      </rPr>
      <t xml:space="preserve"> | </t>
    </r>
    <r>
      <rPr>
        <sz val="9.75"/>
        <rFont val="바탕체"/>
        <charset val="134"/>
      </rPr>
      <t>약</t>
    </r>
    <r>
      <rPr>
        <sz val="9.75"/>
        <rFont val="Consolas"/>
        <charset val="134"/>
      </rPr>
      <t xml:space="preserve"> 1.599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|</t>
    </r>
  </si>
  <si>
    <r>
      <t xml:space="preserve">| </t>
    </r>
    <r>
      <rPr>
        <sz val="9.75"/>
        <rFont val="바탕체"/>
        <charset val="134"/>
      </rPr>
      <t>최종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답변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길이</t>
    </r>
    <r>
      <rPr>
        <sz val="9.75"/>
        <rFont val="Consolas"/>
        <charset val="134"/>
      </rPr>
      <t xml:space="preserve"> | 5,780</t>
    </r>
    <r>
      <rPr>
        <sz val="9.75"/>
        <rFont val="바탕체"/>
        <charset val="134"/>
      </rPr>
      <t>자</t>
    </r>
    <r>
      <rPr>
        <sz val="9.75"/>
        <rFont val="Consolas"/>
        <charset val="134"/>
      </rPr>
      <t xml:space="preserve"> |</t>
    </r>
  </si>
  <si>
    <r>
      <t>모델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호출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구간에는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통신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서비스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측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대기도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포함된다</t>
    </r>
    <r>
      <rPr>
        <sz val="9.75"/>
        <rFont val="Consolas"/>
        <charset val="134"/>
      </rPr>
      <t>. trace</t>
    </r>
    <r>
      <rPr>
        <sz val="9.75"/>
        <rFont val="바탕체"/>
        <charset val="134"/>
      </rPr>
      <t>만으로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서버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대기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모델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추론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네트워크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시간을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세분해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단정할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그러나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병목이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법제처</t>
    </r>
    <r>
      <rPr>
        <sz val="9.75"/>
        <rFont val="Consolas"/>
        <charset val="134"/>
      </rPr>
      <t xml:space="preserve"> API</t>
    </r>
    <r>
      <rPr>
        <sz val="9.75"/>
        <rFont val="바탕체"/>
        <charset val="134"/>
      </rPr>
      <t>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아니라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반복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모델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호출이라는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점은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분명하다</t>
    </r>
    <r>
      <rPr>
        <sz val="9.75"/>
        <rFont val="Consolas"/>
        <charset val="134"/>
      </rPr>
      <t>.</t>
    </r>
  </si>
  <si>
    <r>
      <t xml:space="preserve">### </t>
    </r>
    <r>
      <rPr>
        <sz val="9.75"/>
        <rFont val="바탕체"/>
        <charset val="134"/>
      </rPr>
      <t>호출의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구성</t>
    </r>
  </si>
  <si>
    <r>
      <t xml:space="preserve">| </t>
    </r>
    <r>
      <rPr>
        <sz val="9.75"/>
        <rFont val="바탕체"/>
        <charset val="134"/>
      </rPr>
      <t>호출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종류</t>
    </r>
    <r>
      <rPr>
        <sz val="9.75"/>
        <rFont val="Consolas"/>
        <charset val="134"/>
      </rPr>
      <t xml:space="preserve"> | </t>
    </r>
    <r>
      <rPr>
        <sz val="9.75"/>
        <rFont val="바탕체"/>
        <charset val="134"/>
      </rPr>
      <t>횟수</t>
    </r>
    <r>
      <rPr>
        <sz val="9.75"/>
        <rFont val="Consolas"/>
        <charset val="134"/>
      </rPr>
      <t xml:space="preserve"> | generation </t>
    </r>
    <r>
      <rPr>
        <sz val="9.75"/>
        <rFont val="바탕체"/>
        <charset val="134"/>
      </rPr>
      <t>구간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합계</t>
    </r>
    <r>
      <rPr>
        <sz val="9.75"/>
        <rFont val="Consolas"/>
        <charset val="134"/>
      </rPr>
      <t xml:space="preserve"> |</t>
    </r>
  </si>
  <si>
    <t>|---|---:|---:|</t>
  </si>
  <si>
    <r>
      <t xml:space="preserve">| </t>
    </r>
    <r>
      <rPr>
        <sz val="9.75"/>
        <rFont val="바탕체"/>
        <charset val="134"/>
      </rPr>
      <t>분야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분류</t>
    </r>
    <r>
      <rPr>
        <sz val="9.75"/>
        <rFont val="Consolas"/>
        <charset val="134"/>
      </rPr>
      <t xml:space="preserve"> | 1 | </t>
    </r>
    <r>
      <rPr>
        <sz val="9.75"/>
        <rFont val="바탕체"/>
        <charset val="134"/>
      </rPr>
      <t>약</t>
    </r>
    <r>
      <rPr>
        <sz val="9.75"/>
        <rFont val="Consolas"/>
        <charset val="134"/>
      </rPr>
      <t xml:space="preserve"> 1.6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|</t>
    </r>
  </si>
  <si>
    <r>
      <t xml:space="preserve">| </t>
    </r>
    <r>
      <rPr>
        <sz val="9.75"/>
        <rFont val="바탕체"/>
        <charset val="134"/>
      </rPr>
      <t>최초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작성</t>
    </r>
    <r>
      <rPr>
        <sz val="9.75"/>
        <rFont val="Consolas"/>
        <charset val="134"/>
      </rPr>
      <t xml:space="preserve"> | 1 | </t>
    </r>
    <r>
      <rPr>
        <sz val="9.75"/>
        <rFont val="바탕체"/>
        <charset val="134"/>
      </rPr>
      <t>약</t>
    </r>
    <r>
      <rPr>
        <sz val="9.75"/>
        <rFont val="Consolas"/>
        <charset val="134"/>
      </rPr>
      <t xml:space="preserve"> 43.6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|</t>
    </r>
  </si>
  <si>
    <r>
      <t xml:space="preserve">| </t>
    </r>
    <r>
      <rPr>
        <sz val="9.75"/>
        <rFont val="바탕체"/>
        <charset val="134"/>
      </rPr>
      <t>법령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보강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재작성</t>
    </r>
    <r>
      <rPr>
        <sz val="9.75"/>
        <rFont val="Consolas"/>
        <charset val="134"/>
      </rPr>
      <t xml:space="preserve"> | 2 | </t>
    </r>
    <r>
      <rPr>
        <sz val="9.75"/>
        <rFont val="바탕체"/>
        <charset val="134"/>
      </rPr>
      <t>약</t>
    </r>
    <r>
      <rPr>
        <sz val="9.75"/>
        <rFont val="Consolas"/>
        <charset val="134"/>
      </rPr>
      <t xml:space="preserve"> 118.5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|</t>
    </r>
  </si>
  <si>
    <r>
      <t xml:space="preserve">| </t>
    </r>
    <r>
      <rPr>
        <sz val="9.75"/>
        <rFont val="바탕체"/>
        <charset val="134"/>
      </rPr>
      <t>검증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지적에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따른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재작성</t>
    </r>
    <r>
      <rPr>
        <sz val="9.75"/>
        <rFont val="Consolas"/>
        <charset val="134"/>
      </rPr>
      <t xml:space="preserve"> | 3 | </t>
    </r>
    <r>
      <rPr>
        <sz val="9.75"/>
        <rFont val="바탕체"/>
        <charset val="134"/>
      </rPr>
      <t>약</t>
    </r>
    <r>
      <rPr>
        <sz val="9.75"/>
        <rFont val="Consolas"/>
        <charset val="134"/>
      </rPr>
      <t xml:space="preserve"> 136.5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|</t>
    </r>
  </si>
  <si>
    <r>
      <t xml:space="preserve">| </t>
    </r>
    <r>
      <rPr>
        <sz val="9.75"/>
        <rFont val="바탕체"/>
        <charset val="134"/>
      </rPr>
      <t>제한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답변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작성</t>
    </r>
    <r>
      <rPr>
        <sz val="9.75"/>
        <rFont val="Consolas"/>
        <charset val="134"/>
      </rPr>
      <t xml:space="preserve"> | 1 | </t>
    </r>
    <r>
      <rPr>
        <sz val="9.75"/>
        <rFont val="바탕체"/>
        <charset val="134"/>
      </rPr>
      <t>약</t>
    </r>
    <r>
      <rPr>
        <sz val="9.75"/>
        <rFont val="Consolas"/>
        <charset val="134"/>
      </rPr>
      <t xml:space="preserve"> 45.4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|</t>
    </r>
  </si>
  <si>
    <r>
      <t xml:space="preserve">| </t>
    </r>
    <r>
      <rPr>
        <sz val="9.75"/>
        <rFont val="바탕체"/>
        <charset val="134"/>
      </rPr>
      <t>검증</t>
    </r>
    <r>
      <rPr>
        <sz val="9.75"/>
        <rFont val="Consolas"/>
        <charset val="134"/>
      </rPr>
      <t xml:space="preserve"> | 7 | </t>
    </r>
    <r>
      <rPr>
        <sz val="9.75"/>
        <rFont val="바탕체"/>
        <charset val="134"/>
      </rPr>
      <t>약</t>
    </r>
    <r>
      <rPr>
        <sz val="9.75"/>
        <rFont val="Consolas"/>
        <charset val="134"/>
      </rPr>
      <t xml:space="preserve"> 296.5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|</t>
    </r>
  </si>
  <si>
    <r>
      <t xml:space="preserve">| </t>
    </r>
    <r>
      <rPr>
        <sz val="9.75"/>
        <rFont val="바탕체"/>
        <charset val="134"/>
      </rPr>
      <t>합계</t>
    </r>
    <r>
      <rPr>
        <sz val="9.75"/>
        <rFont val="Consolas"/>
        <charset val="134"/>
      </rPr>
      <t xml:space="preserve"> | 15 | </t>
    </r>
    <r>
      <rPr>
        <sz val="9.75"/>
        <rFont val="바탕체"/>
        <charset val="134"/>
      </rPr>
      <t>약</t>
    </r>
    <r>
      <rPr>
        <sz val="9.75"/>
        <rFont val="Consolas"/>
        <charset val="134"/>
      </rPr>
      <t xml:space="preserve"> 642.0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|</t>
    </r>
  </si>
  <si>
    <r>
      <t xml:space="preserve">usage.total </t>
    </r>
    <r>
      <rPr>
        <sz val="9.75"/>
        <rFont val="바탕체"/>
        <charset val="134"/>
      </rPr>
      <t>기록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합계는</t>
    </r>
    <r>
      <rPr>
        <sz val="9.75"/>
        <rFont val="Consolas"/>
        <charset val="134"/>
      </rPr>
      <t xml:space="preserve"> 337,108</t>
    </r>
    <r>
      <rPr>
        <sz val="9.75"/>
        <rFont val="바탕체"/>
        <charset val="134"/>
      </rPr>
      <t>토큰이다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반복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입력을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포함한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관측값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합계이며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실제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청구액을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계산한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것은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아니다</t>
    </r>
    <r>
      <rPr>
        <sz val="9.75"/>
        <rFont val="Consolas"/>
        <charset val="134"/>
      </rPr>
      <t>.</t>
    </r>
  </si>
  <si>
    <r>
      <t xml:space="preserve">### </t>
    </r>
    <r>
      <rPr>
        <sz val="9.75"/>
        <rFont val="바탕체"/>
        <charset val="134"/>
      </rPr>
      <t>반복이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누적되는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코드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구조</t>
    </r>
  </si>
  <si>
    <r>
      <t xml:space="preserve">- `workflows/document_consultation.py:240` </t>
    </r>
    <r>
      <rPr>
        <sz val="9.75"/>
        <rFont val="바탕체"/>
        <charset val="134"/>
      </rPr>
      <t>이후는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검색을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최대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번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일반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수정을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최대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허용한다</t>
    </r>
    <r>
      <rPr>
        <sz val="9.75"/>
        <rFont val="Consolas"/>
        <charset val="134"/>
      </rPr>
      <t>.</t>
    </r>
  </si>
  <si>
    <r>
      <t>- `workflows/legal_workflow.py:1651`</t>
    </r>
    <r>
      <rPr>
        <sz val="9.75"/>
        <rFont val="바탕체"/>
        <charset val="134"/>
      </rPr>
      <t>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법령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보강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재작성을</t>
    </r>
    <r>
      <rPr>
        <sz val="9.75"/>
        <rFont val="Consolas"/>
        <charset val="134"/>
      </rPr>
      <t xml:space="preserve"> `increment_revision=False`</t>
    </r>
    <r>
      <rPr>
        <sz val="9.75"/>
        <rFont val="바탕체"/>
        <charset val="134"/>
      </rPr>
      <t>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실행한다</t>
    </r>
    <r>
      <rPr>
        <sz val="9.75"/>
        <rFont val="Consolas"/>
        <charset val="134"/>
      </rPr>
      <t>.</t>
    </r>
  </si>
  <si>
    <r>
      <t xml:space="preserve">- `document_consultation.py:350` </t>
    </r>
    <r>
      <rPr>
        <sz val="9.75"/>
        <rFont val="바탕체"/>
        <charset val="134"/>
      </rPr>
      <t>이후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최종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처리에서도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별도의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답변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작성과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검증을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수행한다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</si>
  <si>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단계의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횟수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제한은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있지만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요청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전체의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시간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모델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호출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상한이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없다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</si>
  <si>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검증이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증거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전달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핵심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법리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외에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표현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개선과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불필요한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추가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논의를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요구해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반복을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늘린다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</si>
  <si>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검증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출력은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회차에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따라</t>
    </r>
    <r>
      <rPr>
        <sz val="9.75"/>
        <rFont val="Consolas"/>
        <charset val="134"/>
      </rPr>
      <t xml:space="preserve"> 9,113</t>
    </r>
    <r>
      <rPr>
        <sz val="9.75"/>
        <rFont val="바탕체"/>
        <charset val="134"/>
      </rPr>
      <t>토큰까지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생성됐다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사용자에게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전달하지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감사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문서를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매번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생성하는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비용이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크다</t>
    </r>
    <r>
      <rPr>
        <sz val="9.75"/>
        <rFont val="Consolas"/>
        <charset val="134"/>
      </rPr>
      <t>.</t>
    </r>
  </si>
  <si>
    <r>
      <t>별도의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재검색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예산이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필요한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것은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맞지만</t>
    </r>
    <r>
      <rPr>
        <sz val="9.75"/>
        <rFont val="Consolas"/>
        <charset val="134"/>
      </rPr>
      <t>, **</t>
    </r>
    <r>
      <rPr>
        <sz val="9.75"/>
        <rFont val="바탕체"/>
        <charset val="134"/>
      </rPr>
      <t>검색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재작성과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검증을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무조건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다시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수행하고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끝에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복구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경로를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붙이는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방식은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지연을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통제하지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못한다</t>
    </r>
    <r>
      <rPr>
        <sz val="9.75"/>
        <rFont val="Consolas"/>
        <charset val="134"/>
      </rPr>
      <t>.**</t>
    </r>
  </si>
  <si>
    <r>
      <t xml:space="preserve">## 5. </t>
    </r>
    <r>
      <rPr>
        <sz val="9.75"/>
        <rFont val="바탕체"/>
        <charset val="134"/>
      </rPr>
      <t>다음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구현에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반영할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변경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기준</t>
    </r>
  </si>
  <si>
    <r>
      <t xml:space="preserve">### </t>
    </r>
    <r>
      <rPr>
        <sz val="9.75"/>
        <rFont val="바탕체"/>
        <charset val="134"/>
      </rPr>
      <t>답변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정책</t>
    </r>
  </si>
  <si>
    <r>
      <t xml:space="preserve">1. </t>
    </r>
    <r>
      <rPr>
        <sz val="9.75"/>
        <rFont val="바탕체"/>
        <charset val="134"/>
      </rPr>
      <t>등록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사용자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제공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사실을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출처와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함께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상담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전제로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채택한다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실제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충돌만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별도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질문으로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남긴다</t>
    </r>
    <r>
      <rPr>
        <sz val="9.75"/>
        <rFont val="Consolas"/>
        <charset val="134"/>
      </rPr>
      <t>.</t>
    </r>
  </si>
  <si>
    <r>
      <t xml:space="preserve">2. </t>
    </r>
    <r>
      <rPr>
        <sz val="9.75"/>
        <rFont val="바탕체"/>
        <charset val="134"/>
      </rPr>
      <t>권리순위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변화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지급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가능성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최종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손실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가능성을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별도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항목으로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판단한다</t>
    </r>
    <r>
      <rPr>
        <sz val="9.75"/>
        <rFont val="Consolas"/>
        <charset val="134"/>
      </rPr>
      <t>. '</t>
    </r>
    <r>
      <rPr>
        <sz val="9.75"/>
        <rFont val="바탕체"/>
        <charset val="134"/>
      </rPr>
      <t>위험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증가</t>
    </r>
    <r>
      <rPr>
        <sz val="9.75"/>
        <rFont val="Consolas"/>
        <charset val="134"/>
      </rPr>
      <t xml:space="preserve">' </t>
    </r>
    <r>
      <rPr>
        <sz val="9.75"/>
        <rFont val="바탕체"/>
        <charset val="134"/>
      </rPr>
      <t>하나로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합치지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않는다</t>
    </r>
    <r>
      <rPr>
        <sz val="9.75"/>
        <rFont val="Consolas"/>
        <charset val="134"/>
      </rPr>
      <t>.</t>
    </r>
  </si>
  <si>
    <r>
      <t xml:space="preserve">3. </t>
    </r>
    <r>
      <rPr>
        <sz val="9.75"/>
        <rFont val="바탕체"/>
        <charset val="134"/>
      </rPr>
      <t>사건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추론의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한계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문구는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추론과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연결해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검증한다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답변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다른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곳의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일반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경고로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서두의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단정을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통과시키지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않는다</t>
    </r>
    <r>
      <rPr>
        <sz val="9.75"/>
        <rFont val="Consolas"/>
        <charset val="134"/>
      </rPr>
      <t>.</t>
    </r>
  </si>
  <si>
    <r>
      <t xml:space="preserve">4. </t>
    </r>
    <r>
      <rPr>
        <sz val="9.75"/>
        <rFont val="바탕체"/>
        <charset val="134"/>
      </rPr>
      <t>현재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질의에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대한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상대적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판단과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전체의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최종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확정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판단을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구별한다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전체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등기부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부재가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모든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조건부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설명을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막아서는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된다</t>
    </r>
    <r>
      <rPr>
        <sz val="9.75"/>
        <rFont val="Consolas"/>
        <charset val="134"/>
      </rPr>
      <t>.</t>
    </r>
  </si>
  <si>
    <r>
      <t xml:space="preserve">### </t>
    </r>
    <r>
      <rPr>
        <sz val="9.75"/>
        <rFont val="바탕체"/>
        <charset val="134"/>
      </rPr>
      <t>실행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경로</t>
    </r>
  </si>
  <si>
    <r>
      <t xml:space="preserve">1. </t>
    </r>
    <r>
      <rPr>
        <sz val="9.75"/>
        <rFont val="바탕체"/>
        <charset val="134"/>
      </rPr>
      <t>답변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작성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질문에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필요한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법률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근거를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준비한다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근거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초안을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먼저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뒤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검증으로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누락을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발견하는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순서를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줄인다</t>
    </r>
    <r>
      <rPr>
        <sz val="9.75"/>
        <rFont val="Consolas"/>
        <charset val="134"/>
      </rPr>
      <t>.</t>
    </r>
  </si>
  <si>
    <r>
      <t xml:space="preserve">2. </t>
    </r>
    <r>
      <rPr>
        <sz val="9.75"/>
        <rFont val="바탕체"/>
        <charset val="134"/>
      </rPr>
      <t>기본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경로는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작성</t>
    </r>
    <r>
      <rPr>
        <sz val="9.75"/>
        <rFont val="Consolas"/>
        <charset val="134"/>
      </rPr>
      <t xml:space="preserve"> 1</t>
    </r>
    <r>
      <rPr>
        <sz val="9.75"/>
        <rFont val="바탕체"/>
        <charset val="134"/>
      </rPr>
      <t>회</t>
    </r>
    <r>
      <rPr>
        <sz val="9.75"/>
        <rFont val="Consolas"/>
        <charset val="134"/>
      </rPr>
      <t xml:space="preserve"> + </t>
    </r>
    <r>
      <rPr>
        <sz val="9.75"/>
        <rFont val="바탕체"/>
        <charset val="134"/>
      </rPr>
      <t>핵심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검증</t>
    </r>
    <r>
      <rPr>
        <sz val="9.75"/>
        <rFont val="Consolas"/>
        <charset val="134"/>
      </rPr>
      <t xml:space="preserve"> 1</t>
    </r>
    <r>
      <rPr>
        <sz val="9.75"/>
        <rFont val="바탕체"/>
        <charset val="134"/>
      </rPr>
      <t>회로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구성한다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수정이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꼭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필요할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때만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수정</t>
    </r>
    <r>
      <rPr>
        <sz val="9.75"/>
        <rFont val="Consolas"/>
        <charset val="134"/>
      </rPr>
      <t xml:space="preserve"> 1</t>
    </r>
    <r>
      <rPr>
        <sz val="9.75"/>
        <rFont val="바탕체"/>
        <charset val="134"/>
      </rPr>
      <t>회</t>
    </r>
    <r>
      <rPr>
        <sz val="9.75"/>
        <rFont val="Consolas"/>
        <charset val="134"/>
      </rPr>
      <t xml:space="preserve"> + </t>
    </r>
    <r>
      <rPr>
        <sz val="9.75"/>
        <rFont val="바탕체"/>
        <charset val="134"/>
      </rPr>
      <t>재검증</t>
    </r>
    <r>
      <rPr>
        <sz val="9.75"/>
        <rFont val="Consolas"/>
        <charset val="134"/>
      </rPr>
      <t xml:space="preserve"> 1</t>
    </r>
    <r>
      <rPr>
        <sz val="9.75"/>
        <rFont val="바탕체"/>
        <charset val="134"/>
      </rPr>
      <t>회를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허용한다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검색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계획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모델을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별도로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쓰는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경우에도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전역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예산에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포함한다</t>
    </r>
    <r>
      <rPr>
        <sz val="9.75"/>
        <rFont val="Consolas"/>
        <charset val="134"/>
      </rPr>
      <t>.</t>
    </r>
  </si>
  <si>
    <r>
      <t xml:space="preserve">3. </t>
    </r>
    <r>
      <rPr>
        <sz val="9.75"/>
        <rFont val="바탕체"/>
        <charset val="134"/>
      </rPr>
      <t>개별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노드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횟수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외에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요청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전체의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모델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호출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경과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시간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출력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토큰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예산을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관리한다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시간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초과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검증을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우회하지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않는다</t>
    </r>
    <r>
      <rPr>
        <sz val="9.75"/>
        <rFont val="Consolas"/>
        <charset val="134"/>
      </rPr>
      <t>.</t>
    </r>
  </si>
  <si>
    <r>
      <t xml:space="preserve">4. </t>
    </r>
    <r>
      <rPr>
        <sz val="9.75"/>
        <rFont val="바탕체"/>
        <charset val="134"/>
      </rPr>
      <t>검증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결과를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중대한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오류와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표현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권고로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분리한다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잘못된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날짜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금액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당사자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권리순위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출처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법률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효과를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차단하고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표현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권고만으로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재작성하지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않는다</t>
    </r>
    <r>
      <rPr>
        <sz val="9.75"/>
        <rFont val="Consolas"/>
        <charset val="134"/>
      </rPr>
      <t>.</t>
    </r>
  </si>
  <si>
    <r>
      <t xml:space="preserve">5. </t>
    </r>
    <r>
      <rPr>
        <sz val="9.75"/>
        <rFont val="바탕체"/>
        <charset val="134"/>
      </rPr>
      <t>검증은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오류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위치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오류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이유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필요한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수정만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간결하게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반환한다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정상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주장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전체를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장문으로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반복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설명하지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않는다</t>
    </r>
    <r>
      <rPr>
        <sz val="9.75"/>
        <rFont val="Consolas"/>
        <charset val="134"/>
      </rPr>
      <t>.</t>
    </r>
  </si>
  <si>
    <r>
      <t xml:space="preserve">6. </t>
    </r>
    <r>
      <rPr>
        <sz val="9.75"/>
        <rFont val="바탕체"/>
        <charset val="134"/>
      </rPr>
      <t>사실</t>
    </r>
    <r>
      <rPr>
        <sz val="9.75"/>
        <rFont val="Consolas"/>
        <charset val="134"/>
      </rPr>
      <t>/</t>
    </r>
    <r>
      <rPr>
        <sz val="9.75"/>
        <rFont val="바탕체"/>
        <charset val="134"/>
      </rPr>
      <t>법령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캐시는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버전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기준일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조문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버전과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함께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관리하고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재검증에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필요한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원문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추적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가능성을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보존한다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단순히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앞</t>
    </r>
    <r>
      <rPr>
        <sz val="9.75"/>
        <rFont val="Consolas"/>
        <charset val="134"/>
      </rPr>
      <t xml:space="preserve"> N</t>
    </r>
    <r>
      <rPr>
        <sz val="9.75"/>
        <rFont val="바탕체"/>
        <charset val="134"/>
      </rPr>
      <t>개나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본문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앞</t>
    </r>
    <r>
      <rPr>
        <sz val="9.75"/>
        <rFont val="Consolas"/>
        <charset val="134"/>
      </rPr>
      <t xml:space="preserve"> N</t>
    </r>
    <r>
      <rPr>
        <sz val="9.75"/>
        <rFont val="바탕체"/>
        <charset val="134"/>
      </rPr>
      <t>자를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잘라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누락을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재발시키지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않는다</t>
    </r>
    <r>
      <rPr>
        <sz val="9.75"/>
        <rFont val="Consolas"/>
        <charset val="134"/>
      </rPr>
      <t>.</t>
    </r>
  </si>
  <si>
    <r>
      <t xml:space="preserve">### </t>
    </r>
    <r>
      <rPr>
        <sz val="9.75"/>
        <rFont val="바탕체"/>
        <charset val="134"/>
      </rPr>
      <t>품질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속도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평가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기준</t>
    </r>
  </si>
  <si>
    <r>
      <t xml:space="preserve">- </t>
    </r>
    <r>
      <rPr>
        <sz val="9.75"/>
        <rFont val="바탕체"/>
        <charset val="134"/>
      </rPr>
      <t>이번</t>
    </r>
    <r>
      <rPr>
        <sz val="9.75"/>
        <rFont val="Consolas"/>
        <charset val="134"/>
      </rPr>
      <t xml:space="preserve"> trace</t>
    </r>
    <r>
      <rPr>
        <sz val="9.75"/>
        <rFont val="바탕체"/>
        <charset val="134"/>
      </rPr>
      <t>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모델</t>
    </r>
    <r>
      <rPr>
        <sz val="9.75"/>
        <rFont val="Consolas"/>
        <charset val="134"/>
      </rPr>
      <t xml:space="preserve"> PASS</t>
    </r>
    <r>
      <rPr>
        <sz val="9.75"/>
        <rFont val="바탕체"/>
        <charset val="134"/>
      </rPr>
      <t>여도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수동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평가에서는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실패로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기록한다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</si>
  <si>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질문의</t>
    </r>
    <r>
      <rPr>
        <sz val="9.75"/>
        <rFont val="Consolas"/>
        <charset val="134"/>
      </rPr>
      <t xml:space="preserve"> '</t>
    </r>
    <r>
      <rPr>
        <sz val="9.75"/>
        <rFont val="바탕체"/>
        <charset val="134"/>
      </rPr>
      <t>발견일</t>
    </r>
    <r>
      <rPr>
        <sz val="9.75"/>
        <rFont val="Consolas"/>
        <charset val="134"/>
      </rPr>
      <t>'</t>
    </r>
    <r>
      <rPr>
        <sz val="9.75"/>
        <rFont val="바탕체"/>
        <charset val="134"/>
      </rPr>
      <t>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부정하지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않아야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한다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</si>
  <si>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주어진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선순위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전제와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후발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가압류의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관계를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직접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설명해야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한다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</si>
  <si>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반환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정황을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최종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손실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증가로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확대하지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않아야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한다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</si>
  <si>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같은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사실을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거듭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재입증하라고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요구하지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않아야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한다</t>
    </r>
    <r>
      <rPr>
        <sz val="9.75"/>
        <rFont val="Consolas"/>
        <charset val="134"/>
      </rPr>
      <t>.</t>
    </r>
  </si>
  <si>
    <r>
      <t xml:space="preserve">- POC </t>
    </r>
    <r>
      <rPr>
        <sz val="9.75"/>
        <rFont val="바탕체"/>
        <charset val="134"/>
      </rPr>
      <t>응답시간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목표는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별도로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고정해야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한다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예를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들어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일반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질의</t>
    </r>
    <r>
      <rPr>
        <sz val="9.75"/>
        <rFont val="Consolas"/>
        <charset val="134"/>
      </rPr>
      <t xml:space="preserve"> 30~60</t>
    </r>
    <r>
      <rPr>
        <sz val="9.75"/>
        <rFont val="바탕체"/>
        <charset val="134"/>
      </rPr>
      <t>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수준을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목표로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잡더라도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현재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모델의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관측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지연상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호출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축소만으로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달성이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보장되지는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않는다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실측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전에는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달성했다고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보고할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없다</t>
    </r>
    <r>
      <rPr>
        <sz val="9.75"/>
        <rFont val="Consolas"/>
        <charset val="134"/>
      </rPr>
      <t>.</t>
    </r>
  </si>
  <si>
    <r>
      <t xml:space="preserve">- </t>
    </r>
    <r>
      <rPr>
        <sz val="9.75"/>
        <rFont val="바탕체"/>
        <charset val="134"/>
      </rPr>
      <t>품질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점수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모델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호출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전체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경과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승인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대기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처리시간을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함께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기록한다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기다리는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화면이나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스트리밍만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개선한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것을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응답시간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개선으로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보고하지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않는다</t>
    </r>
    <r>
      <rPr>
        <sz val="9.75"/>
        <rFont val="Consolas"/>
        <charset val="134"/>
      </rPr>
      <t>.</t>
    </r>
  </si>
  <si>
    <r>
      <t xml:space="preserve">## 6. </t>
    </r>
    <r>
      <rPr>
        <sz val="9.75"/>
        <rFont val="바탕체"/>
        <charset val="134"/>
      </rPr>
      <t>변경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및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검증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상태</t>
    </r>
  </si>
  <si>
    <r>
      <t>이번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작업은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새</t>
    </r>
    <r>
      <rPr>
        <sz val="9.75"/>
        <rFont val="Consolas"/>
        <charset val="134"/>
      </rPr>
      <t xml:space="preserve"> trace</t>
    </r>
    <r>
      <rPr>
        <sz val="9.75"/>
        <rFont val="바탕체"/>
        <charset val="134"/>
      </rPr>
      <t>에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대한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분석과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문서화다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모델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교체나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질의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재실행을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않았으며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성능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개선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수치를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새로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만들어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보고하지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않았다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현재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코드에는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기존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이후의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추가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변경도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존재하므로</t>
    </r>
    <r>
      <rPr>
        <sz val="9.75"/>
        <rFont val="Consolas"/>
        <charset val="134"/>
      </rPr>
      <t xml:space="preserve">, </t>
    </r>
    <r>
      <rPr>
        <sz val="9.75"/>
        <rFont val="바탕체"/>
        <charset val="134"/>
      </rPr>
      <t>코드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현재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상태를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과거</t>
    </r>
    <r>
      <rPr>
        <sz val="9.75"/>
        <rFont val="Consolas"/>
        <charset val="134"/>
      </rPr>
      <t xml:space="preserve"> trace </t>
    </r>
    <r>
      <rPr>
        <sz val="9.75"/>
        <rFont val="바탕체"/>
        <charset val="134"/>
      </rPr>
      <t>실행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버전과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동일하다고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가정하지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않았다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실제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동작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판단에는</t>
    </r>
    <r>
      <rPr>
        <sz val="9.75"/>
        <rFont val="Consolas"/>
        <charset val="134"/>
      </rPr>
      <t xml:space="preserve"> trace </t>
    </r>
    <r>
      <rPr>
        <sz val="9.75"/>
        <rFont val="바탕체"/>
        <charset val="134"/>
      </rPr>
      <t>기록을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우선했다</t>
    </r>
    <r>
      <rPr>
        <sz val="9.75"/>
        <rFont val="Consolas"/>
        <charset val="134"/>
      </rPr>
      <t>.</t>
    </r>
  </si>
  <si>
    <r>
      <t>주석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표준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준수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점검</t>
    </r>
    <r>
      <rPr>
        <sz val="9.75"/>
        <rFont val="Consolas"/>
        <charset val="134"/>
      </rPr>
      <t xml:space="preserve">: </t>
    </r>
    <r>
      <rPr>
        <sz val="9.75"/>
        <rFont val="바탕체"/>
        <charset val="134"/>
      </rPr>
      <t>이번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단계의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제품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소스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추가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수정은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해당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없음</t>
    </r>
    <r>
      <rPr>
        <sz val="9.75"/>
        <rFont val="Consolas"/>
        <charset val="134"/>
      </rPr>
      <t xml:space="preserve">. </t>
    </r>
    <r>
      <rPr>
        <sz val="9.75"/>
        <rFont val="바탕체"/>
        <charset val="134"/>
      </rPr>
      <t>이전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수정의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전체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검증</t>
    </r>
    <r>
      <rPr>
        <sz val="9.75"/>
        <rFont val="Consolas"/>
        <charset val="134"/>
      </rPr>
      <t>·</t>
    </r>
    <r>
      <rPr>
        <sz val="9.75"/>
        <rFont val="바탕체"/>
        <charset val="134"/>
      </rPr>
      <t>완료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여부와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이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분석의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완료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여부는</t>
    </r>
    <r>
      <rPr>
        <sz val="9.75"/>
        <rFont val="Consolas"/>
        <charset val="134"/>
      </rPr>
      <t xml:space="preserve"> </t>
    </r>
    <r>
      <rPr>
        <sz val="9.75"/>
        <rFont val="바탕체"/>
        <charset val="134"/>
      </rPr>
      <t>구별한다</t>
    </r>
    <r>
      <rPr>
        <sz val="9.75"/>
        <rFont val="Consolas"/>
        <charset val="134"/>
      </rPr>
      <t>.</t>
    </r>
  </si>
  <si>
    <t>gemini 분석</t>
  </si>
  <si>
    <r>
      <t xml:space="preserve">제시해 주신 Trace </t>
    </r>
    <r>
      <rPr>
        <sz val="11"/>
        <color theme="1"/>
        <rFont val="Calibri"/>
        <charset val="134"/>
        <scheme val="minor"/>
      </rPr>
      <t>dae222e6-857b-4991-a78f-5c885f37c917</t>
    </r>
    <r>
      <rPr>
        <sz val="11"/>
        <color theme="1"/>
        <rFont val="Calibri"/>
        <charset val="134"/>
        <scheme val="minor"/>
      </rPr>
      <t>의 데이터베이스 레코드와 354줄의 시스템 로그를 분초 단위로 정밀 분석했습니다.</t>
    </r>
  </si>
  <si>
    <r>
      <t xml:space="preserve">사용자께서 지적하신 </t>
    </r>
    <r>
      <rPr>
        <b/>
        <sz val="11"/>
        <color theme="1"/>
        <rFont val="Calibri"/>
        <charset val="134"/>
        <scheme val="minor"/>
      </rPr>
      <t>3가지 문제는 모두 현재 시스템의 가장 치명적인 결함과 직결되는 대단히 날카롭고 정확한 지적</t>
    </r>
    <r>
      <rPr>
        <sz val="11"/>
        <color theme="1"/>
        <rFont val="Calibri"/>
        <charset val="134"/>
        <scheme val="minor"/>
      </rPr>
      <t>입니다. 각각에 대한 상세 원인과 분석 결과를 보고드립니다.</t>
    </r>
  </si>
  <si>
    <t>1. 답변의 부정확: 선순위 대항력과 후순위 가압류의 법리 왜곡</t>
  </si>
  <si>
    <t>사용자 지적</t>
  </si>
  <si>
    <t>"확정일자를 22년 4월에 받았고 계속 묵시적계약 유지 중이므로 그 이후 등록된 가압류가 있다고 해서 '보증금 3억 원을 제때 전액 반환받을 위험은 기존보다 커졌다고 다시 평가하는 것이 맞습니다'라고 판단하는 것은 잘못되었다."</t>
  </si>
  <si>
    <r>
      <t xml:space="preserve">정밀 분석 결과: </t>
    </r>
    <r>
      <rPr>
        <b/>
        <sz val="12"/>
        <color theme="1"/>
        <rFont val="Calibri"/>
        <charset val="134"/>
        <scheme val="minor"/>
      </rPr>
      <t>사용자 말씀이 법률적으로 100% 맞습니다.</t>
    </r>
  </si>
  <si>
    <r>
      <t>법리적 사실</t>
    </r>
    <r>
      <rPr>
        <sz val="11"/>
        <color theme="1"/>
        <rFont val="Calibri"/>
        <charset val="134"/>
        <scheme val="minor"/>
      </rPr>
      <t>:</t>
    </r>
  </si>
  <si>
    <r>
      <t xml:space="preserve">임차인은 </t>
    </r>
    <r>
      <rPr>
        <b/>
        <sz val="11"/>
        <color theme="1"/>
        <rFont val="Calibri"/>
        <charset val="134"/>
        <scheme val="minor"/>
      </rPr>
      <t>2022.03.01 입주 + 2022.03.02 전입신고 + 2022.02.22 확정일자</t>
    </r>
    <r>
      <rPr>
        <sz val="11"/>
        <color theme="1"/>
        <rFont val="Calibri"/>
        <charset val="134"/>
        <scheme val="minor"/>
      </rPr>
      <t xml:space="preserve">를 갖추어, </t>
    </r>
    <r>
      <rPr>
        <b/>
        <sz val="11"/>
        <color theme="1"/>
        <rFont val="Calibri"/>
        <charset val="134"/>
        <scheme val="minor"/>
      </rPr>
      <t>2022.03.03 0시</t>
    </r>
    <r>
      <rPr>
        <sz val="11"/>
        <color theme="1"/>
        <rFont val="Calibri"/>
        <charset val="134"/>
        <scheme val="minor"/>
      </rPr>
      <t xml:space="preserve">에 이미 완전한 </t>
    </r>
    <r>
      <rPr>
        <b/>
        <sz val="11"/>
        <color theme="1"/>
        <rFont val="Calibri"/>
        <charset val="134"/>
        <scheme val="minor"/>
      </rPr>
      <t>대항력과 우선변제권</t>
    </r>
    <r>
      <rPr>
        <sz val="11"/>
        <color theme="1"/>
        <rFont val="Calibri"/>
        <charset val="134"/>
        <scheme val="minor"/>
      </rPr>
      <t>을 취득했습니다(주택임대차보호법 제3조, 제3조의2).</t>
    </r>
  </si>
  <si>
    <r>
      <t xml:space="preserve">2024년 2월 묵시적 갱신이 되었더라도 </t>
    </r>
    <r>
      <rPr>
        <b/>
        <sz val="11"/>
        <color theme="1"/>
        <rFont val="Calibri"/>
        <charset val="134"/>
        <scheme val="minor"/>
      </rPr>
      <t>기존의 대항력과 우선변제권 순위는 그대로 존속·유지</t>
    </r>
    <r>
      <rPr>
        <sz val="11"/>
        <color theme="1"/>
        <rFont val="Calibri"/>
        <charset val="134"/>
        <scheme val="minor"/>
      </rPr>
      <t>됩니다(대법원 판례 확립).</t>
    </r>
  </si>
  <si>
    <r>
      <t xml:space="preserve">따라서 2026.07.18 동진은행 가압류(7,200만 원)나 2026.08.28 HUG 가압류는 임차인보다 무려 4년 뒤선 </t>
    </r>
    <r>
      <rPr>
        <b/>
        <sz val="11"/>
        <color theme="1"/>
        <rFont val="Calibri"/>
        <charset val="134"/>
        <scheme val="minor"/>
      </rPr>
      <t>완전한 후순위</t>
    </r>
    <r>
      <rPr>
        <sz val="11"/>
        <color theme="1"/>
        <rFont val="Calibri"/>
        <charset val="134"/>
        <scheme val="minor"/>
      </rPr>
      <t xml:space="preserve">입니다. 경매가 되더라도 임차인이 100% 우선 배당받으며, 전액을 배당받지 못하면 낙찰자에게 전액을 돌려받을 때까지 집을 비워주지 않아도 되는 </t>
    </r>
    <r>
      <rPr>
        <b/>
        <sz val="11"/>
        <color theme="1"/>
        <rFont val="Calibri"/>
        <charset val="134"/>
        <scheme val="minor"/>
      </rPr>
      <t>선순위 대항력</t>
    </r>
    <r>
      <rPr>
        <sz val="11"/>
        <color theme="1"/>
        <rFont val="Calibri"/>
        <charset val="134"/>
        <scheme val="minor"/>
      </rPr>
      <t>을 가집니다.</t>
    </r>
  </si>
  <si>
    <r>
      <t>왜 AI가 이런 엉뚱한 답변을 내놓았는가? (시스템적 원인)</t>
    </r>
    <r>
      <rPr>
        <sz val="11"/>
        <color theme="1"/>
        <rFont val="Calibri"/>
        <charset val="134"/>
        <scheme val="minor"/>
      </rPr>
      <t>:</t>
    </r>
  </si>
  <si>
    <r>
      <t>백엔드 검증 로직(</t>
    </r>
    <r>
      <rPr>
        <sz val="11"/>
        <color theme="1"/>
        <rFont val="Calibri"/>
        <charset val="134"/>
        <scheme val="minor"/>
      </rPr>
      <t>verification.py</t>
    </r>
    <r>
      <rPr>
        <sz val="11"/>
        <color theme="1"/>
        <rFont val="Calibri"/>
        <charset val="134"/>
        <scheme val="minor"/>
      </rPr>
      <t xml:space="preserve">)에 </t>
    </r>
    <r>
      <rPr>
        <sz val="11"/>
        <color theme="1"/>
        <rFont val="Calibri"/>
        <charset val="134"/>
        <scheme val="minor"/>
      </rPr>
      <t>_INFERENCE_RISK_MARKERS = ("위험", "자금난", "회수 위험", "재평가", ...)</t>
    </r>
    <r>
      <rPr>
        <sz val="11"/>
        <color theme="1"/>
        <rFont val="Calibri"/>
        <charset val="134"/>
        <scheme val="minor"/>
      </rPr>
      <t>가 하드코딩되어 있습니다.</t>
    </r>
  </si>
  <si>
    <t>검증기가 모델에게 *"임대인의 자금 사정이나 가압류 정황이 있으면 보증금 회수 위험이 커졌다고 표현하라"*고 강제하고 있었기 때문에, 모델이 **법률상 선순위 안전성(대항력·우선변제권)**을 명확하게 결론짓지 못하고, 첫 문장부터 *"보증금 3억 원을 제때 전액 반환받을 위험이 커졌다고 평가하는 것이 맞다"*며 공포감을 조성하는 잘못된 판단을 내린 것입니다.</t>
  </si>
  <si>
    <r>
      <t>올바른 답변 방향</t>
    </r>
    <r>
      <rPr>
        <sz val="11"/>
        <color theme="1"/>
        <rFont val="Calibri"/>
        <charset val="134"/>
        <scheme val="minor"/>
      </rPr>
      <t>: *"2022년에 취득한 대항력과 우선변제권이 확고하므로 법률상 보증금의 우선권과 권리는 안전합니다. 다만 임대인의 자금 사정으로 만기일에 임의 반환이 지연될 실무적 불편(지연 위험)이 있을 뿐입니다."*로 명확히 분리하여 안심시켜야 합니다.</t>
    </r>
  </si>
  <si>
    <t>2. 증거·사실·사용자 등록 사실을 왜 '확정된 사실'로 보지 않는가?</t>
  </si>
  <si>
    <t>"증거, 사실, 사용자의 주장으로 등록된 사실은 확정된 사실로 봐야 하지 않을까?"</t>
  </si>
  <si>
    <r>
      <t xml:space="preserve">정밀 분석 결과: </t>
    </r>
    <r>
      <rPr>
        <b/>
        <sz val="12"/>
        <color theme="1"/>
        <rFont val="Calibri"/>
        <charset val="134"/>
        <scheme val="minor"/>
      </rPr>
      <t>과도한 면책성 설계(회의주의)가 초래한 본말전도입니다.</t>
    </r>
  </si>
  <si>
    <r>
      <t>현재 시스템의 문제점</t>
    </r>
    <r>
      <rPr>
        <sz val="11"/>
        <color theme="1"/>
        <rFont val="Calibri"/>
        <charset val="134"/>
        <scheme val="minor"/>
      </rPr>
      <t>:</t>
    </r>
  </si>
  <si>
    <r>
      <t>사용자가 직접 사건을 등록하고 본인의 계약서(</t>
    </r>
    <r>
      <rPr>
        <sz val="11"/>
        <color theme="1"/>
        <rFont val="Calibri"/>
        <charset val="134"/>
        <scheme val="minor"/>
      </rPr>
      <t>E01</t>
    </r>
    <r>
      <rPr>
        <sz val="11"/>
        <color theme="1"/>
        <rFont val="Calibri"/>
        <charset val="134"/>
        <scheme val="minor"/>
      </rPr>
      <t>), 송금내역(</t>
    </r>
    <r>
      <rPr>
        <sz val="11"/>
        <color theme="1"/>
        <rFont val="Calibri"/>
        <charset val="134"/>
        <scheme val="minor"/>
      </rPr>
      <t>E02</t>
    </r>
    <r>
      <rPr>
        <sz val="11"/>
        <color theme="1"/>
        <rFont val="Calibri"/>
        <charset val="134"/>
        <scheme val="minor"/>
      </rPr>
      <t>), 전입기록(</t>
    </r>
    <r>
      <rPr>
        <sz val="11"/>
        <color theme="1"/>
        <rFont val="Calibri"/>
        <charset val="134"/>
        <scheme val="minor"/>
      </rPr>
      <t>E03</t>
    </r>
    <r>
      <rPr>
        <sz val="11"/>
        <color theme="1"/>
        <rFont val="Calibri"/>
        <charset val="134"/>
        <scheme val="minor"/>
      </rPr>
      <t>)을 증거로 제출했음에도, AI가 답변 곳곳에서:</t>
    </r>
  </si>
  <si>
    <t>"이것은 임차인 진술상이고 주민등록초본 원본이 필요합니다."</t>
  </si>
  <si>
    <t>"열람 메모 기준이므로 말소사항 포함 등기부 원본 확인 전에는 단정할 수 없습니다."</t>
  </si>
  <si>
    <t>"종합 열람 메모 자체가 확정할 수 없다고 적고 있습니다."</t>
  </si>
  <si>
    <r>
      <t xml:space="preserve">라며 </t>
    </r>
    <r>
      <rPr>
        <b/>
        <sz val="11"/>
        <color theme="1"/>
        <rFont val="Calibri"/>
        <charset val="134"/>
        <scheme val="minor"/>
      </rPr>
      <t>사용자가 제공한 사실관계를 끊임없이 의심하고 면책성 문구로 도배</t>
    </r>
    <r>
      <rPr>
        <sz val="11"/>
        <color theme="1"/>
        <rFont val="Calibri"/>
        <charset val="134"/>
        <scheme val="minor"/>
      </rPr>
      <t>하고 있습니다.</t>
    </r>
  </si>
  <si>
    <r>
      <t>원인</t>
    </r>
    <r>
      <rPr>
        <sz val="11"/>
        <color theme="1"/>
        <rFont val="Calibri"/>
        <charset val="134"/>
        <scheme val="minor"/>
      </rPr>
      <t>:</t>
    </r>
  </si>
  <si>
    <t>검증기 프롬프트가 *"사용자의 모든 주장은 USER_STATEMENT이며, 공문서 원본이 없으면 EVIDENCE_NEEDED로 분류하고 단정적 표현을 쓰지 말라"*고 과도하게 제약하고 있기 때문입니다.</t>
  </si>
  <si>
    <r>
      <t>개선 방향</t>
    </r>
    <r>
      <rPr>
        <sz val="11"/>
        <color theme="1"/>
        <rFont val="Calibri"/>
        <charset val="134"/>
        <scheme val="minor"/>
      </rPr>
      <t>: 상담을 의뢰한 사용자가 업로드하고 확인한 증거와 사실관계는 **상담의 기본 전제(Stipulated Facts)**로 확정하고, 그 전제 위에서 명쾌한 법률적 결론과 솔루션을 제시해야 합니다.</t>
    </r>
  </si>
  <si>
    <t>3. 엄청 느린 응답속도 (12분 이상 소요 원인 상세 분해)</t>
  </si>
  <si>
    <t>"하나의 질의에 12분 이상 걸리는 것은 사용자가 모두 이탈할 것이다."</t>
  </si>
  <si>
    <t>로그 타임라인 정밀 분해 (총 12분 7초 = 727초 소요)</t>
  </si>
  <si>
    <r>
      <t xml:space="preserve">로그를 확인한 결과, 단 한 번의 질문에 대해 </t>
    </r>
    <r>
      <rPr>
        <b/>
        <sz val="11"/>
        <color theme="1"/>
        <rFont val="Calibri"/>
        <charset val="134"/>
        <scheme val="minor"/>
      </rPr>
      <t>GPT-5.4가 무려 9번이나 반복 호출</t>
    </r>
    <r>
      <rPr>
        <sz val="11"/>
        <color theme="1"/>
        <rFont val="Calibri"/>
        <charset val="134"/>
        <scheme val="minor"/>
      </rPr>
      <t xml:space="preserve">되었으며, </t>
    </r>
    <r>
      <rPr>
        <b/>
        <sz val="11"/>
        <color theme="1"/>
        <rFont val="Calibri"/>
        <charset val="134"/>
        <scheme val="minor"/>
      </rPr>
      <t>총 20만 토큰 이상</t>
    </r>
    <r>
      <rPr>
        <sz val="11"/>
        <color theme="1"/>
        <rFont val="Calibri"/>
        <charset val="134"/>
        <scheme val="minor"/>
      </rPr>
      <t>이 소모되었습니다:</t>
    </r>
  </si>
  <si>
    <t>시간대</t>
  </si>
  <si>
    <t>단계 (Node)</t>
  </si>
  <si>
    <t>주요 동작</t>
  </si>
  <si>
    <t>소요 시간</t>
  </si>
  <si>
    <t>11:12:43 ~ 11:13:29</t>
  </si>
  <si>
    <t>synthesize</t>
  </si>
  <si>
    <t>초안 4,524자 작성 (LLM 호출)</t>
  </si>
  <si>
    <t>43.6초</t>
  </si>
  <si>
    <t>11:13:29 ~ 11:14:07</t>
  </si>
  <si>
    <t>verification</t>
  </si>
  <si>
    <t>1차 검증 (LLM 호출 17,842 토큰)</t>
  </si>
  <si>
    <t>37.7초</t>
  </si>
  <si>
    <t>11:14:07 ~ 11:15:25</t>
  </si>
  <si>
    <t>HILT 대기</t>
  </si>
  <si>
    <t>법제처 검색 사용자 승인 대기 (화면 대기)</t>
  </si>
  <si>
    <t>1분 18초</t>
  </si>
  <si>
    <t>11:15:26 ~ 11:16:35</t>
  </si>
  <si>
    <t>re_analyze</t>
  </si>
  <si>
    <t>법령 8건 추가 후 초안 6,799자 작성 (LLM)</t>
  </si>
  <si>
    <r>
      <t>69.0초</t>
    </r>
    <r>
      <rPr>
        <sz val="11"/>
        <color theme="1"/>
        <rFont val="Calibri"/>
        <charset val="134"/>
        <scheme val="minor"/>
      </rPr>
      <t xml:space="preserve"> (1분 9초)</t>
    </r>
  </si>
  <si>
    <t>11:16:35 ~ 11:17:10</t>
  </si>
  <si>
    <t>2차 검증 (LLM 호출 23,370 토큰)</t>
  </si>
  <si>
    <t>34.8초</t>
  </si>
  <si>
    <t>11:17:11 ~ 11:18:00</t>
  </si>
  <si>
    <t>조문 추가 후 초안 5,008자 작성 (LLM)</t>
  </si>
  <si>
    <t>49.5초</t>
  </si>
  <si>
    <t>11:18:00 ~ 11:18:45</t>
  </si>
  <si>
    <t>3차 검증 (LLM 호출 25,924 토큰)</t>
  </si>
  <si>
    <t>44.6초</t>
  </si>
  <si>
    <t>11:18:45 ~ 11:19:23</t>
  </si>
  <si>
    <t>revise (1차)</t>
  </si>
  <si>
    <t>답변 보강 초안 4,044자 작성 (LLM)</t>
  </si>
  <si>
    <t>38.1초</t>
  </si>
  <si>
    <t>11:19:23 ~ 11:19:52</t>
  </si>
  <si>
    <t>4차 검증 (LLM 호출 22,678 토큰)</t>
  </si>
  <si>
    <t>28.6초</t>
  </si>
  <si>
    <t>11:19:52 ~ 11:20:34</t>
  </si>
  <si>
    <t>revise (2차)</t>
  </si>
  <si>
    <t>답변 보강 초안 5,584자 작성 (LLM)</t>
  </si>
  <si>
    <t>42.3초</t>
  </si>
  <si>
    <t>11:20:34 ~ 11:21:22</t>
  </si>
  <si>
    <t>5차 검증 (LLM 호출 26,350 토큰)</t>
  </si>
  <si>
    <t>47.6초</t>
  </si>
  <si>
    <t>11:21:22 ~ 11:22:18</t>
  </si>
  <si>
    <t>revise (3차)</t>
  </si>
  <si>
    <t>최종 초안 6,339자 작성 (LLM)</t>
  </si>
  <si>
    <t>56.1초</t>
  </si>
  <si>
    <t>11:22:18 ~ 11:24:50</t>
  </si>
  <si>
    <t>finalize</t>
  </si>
  <si>
    <t>최종 마무리 및 스냅샷 DB 직렬화</t>
  </si>
  <si>
    <t>2분 32초</t>
  </si>
  <si>
    <t>병목의 핵심 원인</t>
  </si>
  <si>
    <r>
      <t>무한 재작성 핑퐁 루프 (답변 작성 5회 + 검증 5회)</t>
    </r>
    <r>
      <rPr>
        <sz val="11"/>
        <color theme="1"/>
        <rFont val="Calibri"/>
        <charset val="134"/>
        <scheme val="minor"/>
      </rPr>
      <t>:</t>
    </r>
  </si>
  <si>
    <r>
      <t>검증기(</t>
    </r>
    <r>
      <rPr>
        <sz val="11"/>
        <color theme="1"/>
        <rFont val="Calibri"/>
        <charset val="134"/>
        <scheme val="minor"/>
      </rPr>
      <t>verification_node</t>
    </r>
    <r>
      <rPr>
        <sz val="11"/>
        <color theme="1"/>
        <rFont val="Calibri"/>
        <charset val="134"/>
        <scheme val="minor"/>
      </rPr>
      <t xml:space="preserve">)가 사소한 꼬투리(예: "해지 통지 도달일 미확인", "법률효과 단정")를 잡아서 계속 </t>
    </r>
    <r>
      <rPr>
        <sz val="11"/>
        <color theme="1"/>
        <rFont val="Calibri"/>
        <charset val="134"/>
        <scheme val="minor"/>
      </rPr>
      <t>REVISE</t>
    </r>
    <r>
      <rPr>
        <sz val="11"/>
        <color theme="1"/>
        <rFont val="Calibri"/>
        <charset val="134"/>
        <scheme val="minor"/>
      </rPr>
      <t xml:space="preserve"> 판정을 내리고, 시스템이 답변 전체(5,000~6,000자)를 4번이나 처음부터 다시 썼습니다.</t>
    </r>
  </si>
  <si>
    <t>GPT-5.4 1회 호출당 4070초씩 걸리므로, 10번 호출되면서 순수 LLM 대기 시간만 **78분**이 발생했습니다.</t>
  </si>
  <si>
    <r>
      <t>거대 프롬프트 중복 전송</t>
    </r>
    <r>
      <rPr>
        <sz val="11"/>
        <color theme="1"/>
        <rFont val="Calibri"/>
        <charset val="134"/>
        <scheme val="minor"/>
      </rPr>
      <t>:</t>
    </r>
  </si>
  <si>
    <t>매 루프마다 이전 초안 전체와 27건의 출처 원문 전체(25,000 토큰)를 통째로 다시 밀어넣어 LLM 응답 지연이 눈덩이처럼 불어났습니다.</t>
  </si>
  <si>
    <t>종합 개선 방안</t>
  </si>
  <si>
    <r>
      <t>응답 속도 혁신 (12분 → 30초 이내)</t>
    </r>
    <r>
      <rPr>
        <sz val="11"/>
        <color theme="1"/>
        <rFont val="Calibri"/>
        <charset val="134"/>
        <scheme val="minor"/>
      </rPr>
      <t>:</t>
    </r>
  </si>
  <si>
    <r>
      <t>검증 실패 시 전체 답변을 다시 쓰는 무한 루프(</t>
    </r>
    <r>
      <rPr>
        <sz val="11"/>
        <color theme="1"/>
        <rFont val="Calibri"/>
        <charset val="134"/>
        <scheme val="minor"/>
      </rPr>
      <t>revise</t>
    </r>
    <r>
      <rPr>
        <sz val="11"/>
        <color theme="1"/>
        <rFont val="Calibri"/>
        <charset val="134"/>
        <scheme val="minor"/>
      </rPr>
      <t xml:space="preserve"> 3회)를 폐지하고, **1회 작성 + 가벼운 규칙 기반 검증(단 1회)**으로 워크플로우를 대폭 단순화.</t>
    </r>
  </si>
  <si>
    <t>불필요한 LLM 반복 호출을 차단하여 응답 시간을 30초 안팎으로 단축.</t>
  </si>
  <si>
    <r>
      <t>등록 증거의 확정적 전제 인정</t>
    </r>
    <r>
      <rPr>
        <sz val="11"/>
        <color theme="1"/>
        <rFont val="Calibri"/>
        <charset val="134"/>
        <scheme val="minor"/>
      </rPr>
      <t>:</t>
    </r>
  </si>
  <si>
    <t>등록된 계약서/이체내역/전입자료는 기본 사실로 인정하고, 불필요하게 사용자를 의심하는 면책 문구("원본이 없어 단정할 수 없음")를 대폭 제거.</t>
  </si>
  <si>
    <r>
      <t>선순위 대항력·우선변제권 법리 정상화</t>
    </r>
    <r>
      <rPr>
        <sz val="11"/>
        <color theme="1"/>
        <rFont val="Calibri"/>
        <charset val="134"/>
        <scheme val="minor"/>
      </rPr>
      <t>:</t>
    </r>
  </si>
  <si>
    <t>2022년 확정일자 대항력 임차인이 2026년 가압류보다 우선한다는 점을 명쾌하게 확인해 주고, "권리는 안전하나 임대인의 임의 반환 지연 위험에 대응하는 실무 요령"을 안내하도록 프롬프트 및 판정 기준 개편.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</si>
</sst>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₩&quot;* #,##0_-;\-&quot;₩&quot;* #,##0_-;_-&quot;₩&quot;* &quot;-&quot;_-;_-@_-"/>
    <numFmt numFmtId="43" formatCode="_-* #,##0.00_-;\-* #,##0.00_-;_-* &quot;-&quot;??_-;_-@_-"/>
    <numFmt numFmtId="44" formatCode="_-&quot;₩&quot;* #,##0.00_-;\-&quot;₩&quot;* #,##0.00_-;_-&quot;₩&quot;* &quot;-&quot;??_-;_-@_-"/>
    <numFmt numFmtId="176" formatCode="0.0%"/>
    <numFmt numFmtId="177" formatCode="yyyy/mm/dd\ hh:mm:ss"/>
    <numFmt numFmtId="178" formatCode="[$-1010412]yyyy/mm/dd"/>
  </numFmts>
  <fonts count="30">
    <font>
      <sz val="11"/>
      <name val="Carlito"/>
      <charset val="134"/>
    </font>
    <font>
      <sz val="9.75"/>
      <name val="Consolas"/>
      <charset val="134"/>
    </font>
    <font>
      <sz val="9.75"/>
      <name val="바탕체"/>
      <charset val="134"/>
    </font>
    <font>
      <sz val="11"/>
      <name val="바탕체"/>
      <charset val="134"/>
    </font>
    <font>
      <sz val="11"/>
      <color theme="1"/>
      <name val="Calibri"/>
      <charset val="134"/>
      <scheme val="minor"/>
    </font>
    <font>
      <b/>
      <sz val="14.05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FFF1C7"/>
        <bgColor indexed="64"/>
      </patternFill>
    </fill>
    <fill>
      <patternFill patternType="solid">
        <fgColor rgb="FFEAF4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5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5" applyNumberFormat="0" applyAlignment="0" applyProtection="0">
      <alignment vertical="center"/>
    </xf>
    <xf numFmtId="0" fontId="21" fillId="7" borderId="4" applyNumberFormat="0" applyAlignment="0" applyProtection="0">
      <alignment vertical="center"/>
    </xf>
    <xf numFmtId="0" fontId="22" fillId="8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0" fillId="0" borderId="0"/>
  </cellStyleXfs>
  <cellXfs count="29">
    <xf numFmtId="0" fontId="0" fillId="0" borderId="0" xfId="49"/>
    <xf numFmtId="0" fontId="0" fillId="0" borderId="0" xfId="49" applyFont="1"/>
    <xf numFmtId="0" fontId="0" fillId="0" borderId="0" xfId="49" applyFont="1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49" applyFont="1"/>
    <xf numFmtId="0" fontId="4" fillId="0" borderId="0" xfId="0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 applyAlignment="1">
      <alignment horizontal="left" vertical="center" indent="1"/>
    </xf>
    <xf numFmtId="0" fontId="4" fillId="0" borderId="0" xfId="0" applyAlignment="1">
      <alignment horizontal="left" vertical="center" indent="2"/>
    </xf>
    <xf numFmtId="0" fontId="8" fillId="0" borderId="0" xfId="0" applyFont="1" applyAlignment="1">
      <alignment horizontal="left" vertical="center" indent="2"/>
    </xf>
    <xf numFmtId="0" fontId="7" fillId="0" borderId="0" xfId="0" applyFont="1" applyAlignment="1">
      <alignment horizontal="left" vertical="center" indent="3"/>
    </xf>
    <xf numFmtId="0" fontId="8" fillId="0" borderId="0" xfId="0" applyFont="1" applyAlignment="1">
      <alignment horizontal="left" vertical="center" wrapText="1"/>
    </xf>
    <xf numFmtId="0" fontId="4" fillId="0" borderId="0" xfId="0" applyAlignment="1">
      <alignment horizontal="left" vertical="center" wrapText="1"/>
    </xf>
    <xf numFmtId="0" fontId="8" fillId="0" borderId="0" xfId="0" applyFont="1">
      <alignment vertical="center"/>
    </xf>
    <xf numFmtId="0" fontId="4" fillId="0" borderId="0" xfId="0" applyAlignment="1">
      <alignment horizontal="left" vertical="center" indent="1"/>
    </xf>
    <xf numFmtId="0" fontId="9" fillId="2" borderId="0" xfId="49" applyNumberFormat="1" applyFont="1" applyFill="1" applyBorder="1" applyAlignment="1">
      <alignment wrapText="1"/>
    </xf>
    <xf numFmtId="0" fontId="0" fillId="0" borderId="0" xfId="49" applyNumberFormat="1" applyFont="1" applyFill="1" applyBorder="1" applyAlignment="1">
      <alignment wrapText="1"/>
    </xf>
    <xf numFmtId="176" fontId="0" fillId="0" borderId="0" xfId="49" applyNumberFormat="1" applyFont="1" applyFill="1" applyBorder="1"/>
    <xf numFmtId="177" fontId="0" fillId="0" borderId="0" xfId="49" applyNumberFormat="1" applyFont="1" applyFill="1" applyBorder="1"/>
    <xf numFmtId="0" fontId="0" fillId="3" borderId="0" xfId="49" applyNumberFormat="1" applyFont="1" applyFill="1" applyBorder="1" applyAlignment="1">
      <alignment wrapText="1"/>
    </xf>
    <xf numFmtId="0" fontId="0" fillId="0" borderId="0" xfId="49" applyAlignment="1">
      <alignment vertical="top"/>
    </xf>
    <xf numFmtId="0" fontId="9" fillId="2" borderId="0" xfId="49" applyNumberFormat="1" applyFont="1" applyFill="1" applyBorder="1" applyAlignment="1">
      <alignment vertical="top" wrapText="1"/>
    </xf>
    <xf numFmtId="0" fontId="0" fillId="0" borderId="0" xfId="49" applyNumberFormat="1" applyFont="1" applyFill="1" applyBorder="1" applyAlignment="1">
      <alignment vertical="top" wrapText="1"/>
    </xf>
    <xf numFmtId="0" fontId="3" fillId="0" borderId="0" xfId="49" applyNumberFormat="1" applyFont="1" applyFill="1" applyBorder="1" applyAlignment="1">
      <alignment vertical="top" wrapText="1"/>
    </xf>
    <xf numFmtId="178" fontId="0" fillId="0" borderId="0" xfId="49" applyNumberFormat="1" applyFont="1" applyFill="1" applyBorder="1" applyAlignment="1">
      <alignment horizontal="left" vertical="top" wrapText="1"/>
    </xf>
    <xf numFmtId="0" fontId="10" fillId="4" borderId="0" xfId="49" applyNumberFormat="1" applyFont="1" applyFill="1" applyBorder="1"/>
  </cellXfs>
  <cellStyles count="50">
    <cellStyle name="일반" xfId="0" builtinId="0"/>
    <cellStyle name="천 단위 구분 기호" xfId="1" builtinId="3"/>
    <cellStyle name="통화" xfId="2" builtinId="4"/>
    <cellStyle name="백분율" xfId="3" builtinId="5"/>
    <cellStyle name="천 단위 구분 기호【0】" xfId="4" builtinId="6"/>
    <cellStyle name="통화【0】" xfId="5" builtinId="7"/>
    <cellStyle name="하이퍼링크" xfId="6" builtinId="8"/>
    <cellStyle name="방문한 하이퍼링크" xfId="7" builtinId="9"/>
    <cellStyle name="메모" xfId="8" builtinId="10"/>
    <cellStyle name="경고 텍스트" xfId="9" builtinId="11"/>
    <cellStyle name="제목" xfId="10" builtinId="15"/>
    <cellStyle name="설명 텍스트" xfId="11" builtinId="53"/>
    <cellStyle name="제목 1" xfId="12" builtinId="16"/>
    <cellStyle name="제목 2" xfId="13" builtinId="17"/>
    <cellStyle name="제목 3" xfId="14" builtinId="18"/>
    <cellStyle name="제목 4" xfId="15" builtinId="19"/>
    <cellStyle name="입력" xfId="16" builtinId="20"/>
    <cellStyle name="출력" xfId="17" builtinId="21"/>
    <cellStyle name="계산" xfId="18" builtinId="22"/>
    <cellStyle name="셀 확인" xfId="19" builtinId="23"/>
    <cellStyle name="링크된 셀" xfId="20" builtinId="24"/>
    <cellStyle name="요약" xfId="21" builtinId="25"/>
    <cellStyle name="좋음" xfId="22" builtinId="26"/>
    <cellStyle name="나쁨" xfId="23" builtinId="27"/>
    <cellStyle name="보통" xfId="24" builtinId="28"/>
    <cellStyle name="강조 1" xfId="25" builtinId="29"/>
    <cellStyle name="20% - 강조 1" xfId="26" builtinId="30"/>
    <cellStyle name="40% - 강조 1" xfId="27" builtinId="31"/>
    <cellStyle name="60% - 강조 1" xfId="28" builtinId="32"/>
    <cellStyle name="강조 2" xfId="29" builtinId="33"/>
    <cellStyle name="20% - 강조 2" xfId="30" builtinId="34"/>
    <cellStyle name="40% - 강조 2" xfId="31" builtinId="35"/>
    <cellStyle name="60% - 강조 2" xfId="32" builtinId="36"/>
    <cellStyle name="강조 3" xfId="33" builtinId="37"/>
    <cellStyle name="20% - 강조 3" xfId="34" builtinId="38"/>
    <cellStyle name="40% - 강조 3" xfId="35" builtinId="39"/>
    <cellStyle name="60% - 강조 3" xfId="36" builtinId="40"/>
    <cellStyle name="강조 4" xfId="37" builtinId="41"/>
    <cellStyle name="20% - 강조 4" xfId="38" builtinId="42"/>
    <cellStyle name="40% - 강조 4" xfId="39" builtinId="43"/>
    <cellStyle name="60% - 강조 4" xfId="40" builtinId="44"/>
    <cellStyle name="강조 5" xfId="41" builtinId="45"/>
    <cellStyle name="20% - 강조 5" xfId="42" builtinId="46"/>
    <cellStyle name="40% - 강조 5" xfId="43" builtinId="47"/>
    <cellStyle name="60% - 강조 5" xfId="44" builtinId="48"/>
    <cellStyle name="강조 6" xfId="45" builtinId="49"/>
    <cellStyle name="20% - 강조 6" xfId="46" builtinId="50"/>
    <cellStyle name="40% - 강조 6" xfId="47" builtinId="51"/>
    <cellStyle name="60% - 강조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2"/>
  <sheetViews>
    <sheetView workbookViewId="0">
      <selection activeCell="B8" sqref="B8"/>
    </sheetView>
  </sheetViews>
  <sheetFormatPr defaultColWidth="9" defaultRowHeight="14.25" outlineLevelCol="1"/>
  <cols>
    <col min="1" max="1" width="25" customWidth="1"/>
    <col min="2" max="2" width="100" customWidth="1"/>
  </cols>
  <sheetData>
    <row r="1" ht="32" customHeight="1" spans="1:2">
      <c r="A1" s="18" t="s">
        <v>0</v>
      </c>
      <c r="B1" s="18" t="s">
        <v>1</v>
      </c>
    </row>
    <row r="3" ht="33" customHeight="1" spans="1:2">
      <c r="A3" s="28" t="s">
        <v>2</v>
      </c>
      <c r="B3" s="19" t="s">
        <v>3</v>
      </c>
    </row>
    <row r="4" ht="33" customHeight="1" spans="1:2">
      <c r="A4" s="28" t="s">
        <v>4</v>
      </c>
      <c r="B4" s="19" t="s">
        <v>5</v>
      </c>
    </row>
    <row r="5" ht="33" customHeight="1" spans="1:2">
      <c r="A5" s="28" t="s">
        <v>6</v>
      </c>
      <c r="B5" s="19" t="s">
        <v>7</v>
      </c>
    </row>
    <row r="6" ht="33" customHeight="1" spans="1:2">
      <c r="A6" s="28" t="s">
        <v>8</v>
      </c>
      <c r="B6" s="19" t="s">
        <v>9</v>
      </c>
    </row>
    <row r="7" ht="33" customHeight="1" spans="1:2">
      <c r="A7" s="28" t="s">
        <v>10</v>
      </c>
      <c r="B7" s="19" t="s">
        <v>11</v>
      </c>
    </row>
    <row r="8" ht="33" customHeight="1" spans="1:2">
      <c r="A8" s="28" t="s">
        <v>12</v>
      </c>
      <c r="B8" s="19" t="s">
        <v>13</v>
      </c>
    </row>
    <row r="9" ht="33" customHeight="1" spans="1:2">
      <c r="A9" s="28" t="s">
        <v>14</v>
      </c>
      <c r="B9" s="19" t="s">
        <v>15</v>
      </c>
    </row>
    <row r="10" ht="33" customHeight="1" spans="1:2">
      <c r="A10" s="28" t="s">
        <v>16</v>
      </c>
      <c r="B10" s="19" t="s">
        <v>17</v>
      </c>
    </row>
    <row r="11" ht="33" customHeight="1" spans="1:2">
      <c r="A11" s="28" t="s">
        <v>18</v>
      </c>
      <c r="B11" s="19" t="s">
        <v>19</v>
      </c>
    </row>
    <row r="12" ht="33" customHeight="1" spans="1:2">
      <c r="A12" s="28" t="s">
        <v>20</v>
      </c>
      <c r="B12" s="19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workbookViewId="0">
      <pane ySplit="1" topLeftCell="A4" activePane="bottomLeft" state="frozen"/>
      <selection/>
      <selection pane="bottomLeft" activeCell="D6" sqref="D6"/>
    </sheetView>
  </sheetViews>
  <sheetFormatPr defaultColWidth="9" defaultRowHeight="14.25" outlineLevelCol="4"/>
  <cols>
    <col min="1" max="1" width="10" style="23" customWidth="1"/>
    <col min="2" max="2" width="17" style="23" customWidth="1"/>
    <col min="3" max="3" width="25" style="23" customWidth="1"/>
    <col min="4" max="4" width="52" style="23" customWidth="1"/>
    <col min="5" max="5" width="115" style="23" customWidth="1"/>
    <col min="6" max="16384" width="9" style="23"/>
  </cols>
  <sheetData>
    <row r="1" ht="32" customHeight="1" spans="1:5">
      <c r="A1" s="24" t="s">
        <v>22</v>
      </c>
      <c r="B1" s="24" t="s">
        <v>23</v>
      </c>
      <c r="C1" s="24" t="s">
        <v>24</v>
      </c>
      <c r="D1" s="24" t="s">
        <v>25</v>
      </c>
      <c r="E1" s="24" t="s">
        <v>26</v>
      </c>
    </row>
    <row r="2" ht="86" customHeight="1" spans="1:5">
      <c r="A2" s="25" t="s">
        <v>27</v>
      </c>
      <c r="B2" s="25" t="s">
        <v>28</v>
      </c>
      <c r="C2" s="25" t="s">
        <v>29</v>
      </c>
      <c r="D2" s="25" t="s">
        <v>30</v>
      </c>
      <c r="E2" s="26" t="s">
        <v>31</v>
      </c>
    </row>
    <row r="3" ht="86" customHeight="1" spans="1:5">
      <c r="A3" s="25" t="s">
        <v>32</v>
      </c>
      <c r="B3" s="25" t="s">
        <v>33</v>
      </c>
      <c r="C3" s="25" t="s">
        <v>34</v>
      </c>
      <c r="D3" s="25" t="s">
        <v>35</v>
      </c>
      <c r="E3" s="26" t="s">
        <v>36</v>
      </c>
    </row>
    <row r="4" ht="86" customHeight="1" spans="1:5">
      <c r="A4" s="25" t="s">
        <v>37</v>
      </c>
      <c r="B4" s="27">
        <v>46113</v>
      </c>
      <c r="C4" s="25" t="s">
        <v>38</v>
      </c>
      <c r="D4" s="25" t="s">
        <v>39</v>
      </c>
      <c r="E4" s="26" t="s">
        <v>40</v>
      </c>
    </row>
    <row r="5" ht="86" customHeight="1" spans="1:5">
      <c r="A5" s="25" t="s">
        <v>41</v>
      </c>
      <c r="B5" s="27">
        <v>46162</v>
      </c>
      <c r="C5" s="25" t="s">
        <v>42</v>
      </c>
      <c r="D5" s="25" t="s">
        <v>43</v>
      </c>
      <c r="E5" s="26" t="s">
        <v>44</v>
      </c>
    </row>
    <row r="6" ht="86" customHeight="1" spans="1:5">
      <c r="A6" s="25" t="s">
        <v>45</v>
      </c>
      <c r="B6" s="25" t="s">
        <v>46</v>
      </c>
      <c r="C6" s="25" t="s">
        <v>47</v>
      </c>
      <c r="D6" s="25" t="s">
        <v>48</v>
      </c>
      <c r="E6" s="26" t="s">
        <v>49</v>
      </c>
    </row>
    <row r="7" ht="86" customHeight="1" spans="1:5">
      <c r="A7" s="25" t="s">
        <v>50</v>
      </c>
      <c r="B7" s="27">
        <v>46283</v>
      </c>
      <c r="C7" s="25" t="s">
        <v>51</v>
      </c>
      <c r="D7" s="25" t="s">
        <v>52</v>
      </c>
      <c r="E7" s="25" t="s">
        <v>53</v>
      </c>
    </row>
    <row r="8" ht="86" customHeight="1" spans="1:5">
      <c r="A8" s="25" t="s">
        <v>54</v>
      </c>
      <c r="B8" s="25" t="s">
        <v>55</v>
      </c>
      <c r="C8" s="25" t="s">
        <v>56</v>
      </c>
      <c r="D8" s="25" t="s">
        <v>57</v>
      </c>
      <c r="E8" s="25" t="s">
        <v>58</v>
      </c>
    </row>
    <row r="9" ht="86" customHeight="1" spans="1:5">
      <c r="A9" s="25" t="s">
        <v>59</v>
      </c>
      <c r="B9" s="25" t="s">
        <v>60</v>
      </c>
      <c r="C9" s="25" t="s">
        <v>61</v>
      </c>
      <c r="D9" s="25" t="s">
        <v>62</v>
      </c>
      <c r="E9" s="25" t="s">
        <v>63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pane ySplit="1" topLeftCell="A2" activePane="bottomLeft" state="frozen"/>
      <selection/>
      <selection pane="bottomLeft" activeCell="D5" sqref="D5"/>
    </sheetView>
  </sheetViews>
  <sheetFormatPr defaultColWidth="9" defaultRowHeight="14.25" outlineLevelCol="5"/>
  <cols>
    <col min="1" max="1" width="10" customWidth="1"/>
    <col min="2" max="2" width="17" customWidth="1"/>
    <col min="3" max="3" width="75" customWidth="1"/>
    <col min="4" max="4" width="63" customWidth="1"/>
    <col min="5" max="5" width="68" customWidth="1"/>
    <col min="6" max="6" width="72" customWidth="1"/>
  </cols>
  <sheetData>
    <row r="1" ht="32" customHeight="1" spans="1:6">
      <c r="A1" s="18" t="s">
        <v>22</v>
      </c>
      <c r="B1" s="18" t="s">
        <v>64</v>
      </c>
      <c r="C1" s="18" t="s">
        <v>65</v>
      </c>
      <c r="D1" s="18" t="s">
        <v>66</v>
      </c>
      <c r="E1" s="18" t="s">
        <v>67</v>
      </c>
      <c r="F1" s="18" t="s">
        <v>68</v>
      </c>
    </row>
    <row r="2" ht="105" customHeight="1" spans="1:6">
      <c r="A2" s="19" t="s">
        <v>27</v>
      </c>
      <c r="B2" s="19" t="s">
        <v>28</v>
      </c>
      <c r="C2" s="19" t="s">
        <v>69</v>
      </c>
      <c r="D2" s="19" t="s">
        <v>70</v>
      </c>
      <c r="E2" s="19" t="s">
        <v>71</v>
      </c>
      <c r="F2" s="19" t="s">
        <v>72</v>
      </c>
    </row>
    <row r="3" ht="105" customHeight="1" spans="1:6">
      <c r="A3" s="19" t="s">
        <v>32</v>
      </c>
      <c r="B3" s="19" t="s">
        <v>33</v>
      </c>
      <c r="C3" s="19" t="s">
        <v>73</v>
      </c>
      <c r="D3" s="19" t="s">
        <v>74</v>
      </c>
      <c r="E3" s="19" t="s">
        <v>75</v>
      </c>
      <c r="F3" s="19" t="s">
        <v>76</v>
      </c>
    </row>
    <row r="4" ht="105" customHeight="1" spans="1:6">
      <c r="A4" s="19" t="s">
        <v>37</v>
      </c>
      <c r="B4" s="19" t="s">
        <v>77</v>
      </c>
      <c r="C4" s="19" t="s">
        <v>78</v>
      </c>
      <c r="D4" s="19" t="s">
        <v>79</v>
      </c>
      <c r="E4" s="19" t="s">
        <v>80</v>
      </c>
      <c r="F4" s="19" t="s">
        <v>81</v>
      </c>
    </row>
    <row r="5" ht="105" customHeight="1" spans="1:6">
      <c r="A5" s="19" t="s">
        <v>41</v>
      </c>
      <c r="B5" s="19" t="s">
        <v>82</v>
      </c>
      <c r="C5" s="19" t="s">
        <v>83</v>
      </c>
      <c r="D5" s="19" t="s">
        <v>84</v>
      </c>
      <c r="E5" s="19" t="s">
        <v>85</v>
      </c>
      <c r="F5" s="19" t="s">
        <v>86</v>
      </c>
    </row>
    <row r="6" ht="105" customHeight="1" spans="1:6">
      <c r="A6" s="19" t="s">
        <v>45</v>
      </c>
      <c r="B6" s="19" t="s">
        <v>46</v>
      </c>
      <c r="C6" s="19" t="s">
        <v>87</v>
      </c>
      <c r="D6" s="19" t="s">
        <v>88</v>
      </c>
      <c r="E6" s="19" t="s">
        <v>89</v>
      </c>
      <c r="F6" s="19" t="s">
        <v>90</v>
      </c>
    </row>
    <row r="7" ht="105" customHeight="1" spans="1:6">
      <c r="A7" s="19" t="s">
        <v>50</v>
      </c>
      <c r="B7" s="19" t="s">
        <v>91</v>
      </c>
      <c r="C7" s="19" t="s">
        <v>92</v>
      </c>
      <c r="D7" s="19" t="s">
        <v>93</v>
      </c>
      <c r="E7" s="19" t="s">
        <v>94</v>
      </c>
      <c r="F7" s="19" t="s">
        <v>95</v>
      </c>
    </row>
    <row r="8" ht="105" customHeight="1" spans="1:6">
      <c r="A8" s="19" t="s">
        <v>54</v>
      </c>
      <c r="B8" s="19" t="s">
        <v>55</v>
      </c>
      <c r="C8" s="19" t="s">
        <v>96</v>
      </c>
      <c r="D8" s="19" t="s">
        <v>97</v>
      </c>
      <c r="E8" s="19" t="s">
        <v>98</v>
      </c>
      <c r="F8" s="19" t="s">
        <v>99</v>
      </c>
    </row>
    <row r="9" ht="105" customHeight="1" spans="1:6">
      <c r="A9" s="19" t="s">
        <v>59</v>
      </c>
      <c r="B9" s="19" t="s">
        <v>60</v>
      </c>
      <c r="C9" s="19" t="s">
        <v>100</v>
      </c>
      <c r="D9" s="19" t="s">
        <v>101</v>
      </c>
      <c r="E9" s="19" t="s">
        <v>102</v>
      </c>
      <c r="F9" s="19" t="s">
        <v>103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25"/>
  <cols>
    <col min="1" max="1" width="11" customWidth="1"/>
    <col min="2" max="2" width="17" customWidth="1"/>
    <col min="3" max="3" width="13" customWidth="1"/>
    <col min="4" max="4" width="29" customWidth="1"/>
    <col min="5" max="5" width="80" customWidth="1"/>
    <col min="6" max="6" width="14" customWidth="1"/>
    <col min="7" max="7" width="16" customWidth="1"/>
    <col min="8" max="8" width="65" customWidth="1"/>
    <col min="9" max="9" width="48" customWidth="1"/>
  </cols>
  <sheetData>
    <row r="1" ht="32" customHeight="1" spans="1:9">
      <c r="A1" s="18" t="s">
        <v>22</v>
      </c>
      <c r="B1" s="18" t="s">
        <v>64</v>
      </c>
      <c r="C1" s="18" t="s">
        <v>104</v>
      </c>
      <c r="D1" s="18" t="s">
        <v>105</v>
      </c>
      <c r="E1" s="18" t="s">
        <v>106</v>
      </c>
      <c r="F1" s="18" t="s">
        <v>107</v>
      </c>
      <c r="G1" s="18" t="s">
        <v>108</v>
      </c>
      <c r="H1" s="18" t="s">
        <v>109</v>
      </c>
      <c r="I1" s="18" t="s">
        <v>110</v>
      </c>
    </row>
    <row r="2" ht="37" customHeight="1" spans="1:9">
      <c r="A2" s="19" t="s">
        <v>27</v>
      </c>
      <c r="B2" s="19" t="s">
        <v>28</v>
      </c>
      <c r="C2" s="19" t="s">
        <v>14</v>
      </c>
      <c r="D2" s="19" t="s">
        <v>111</v>
      </c>
      <c r="E2" s="19" t="s">
        <v>112</v>
      </c>
      <c r="F2" s="19" t="str">
        <f t="shared" ref="F2:F41" si="0">IF(G2="충족",1,IF(G2="부분",0.5,IF(G2="미충족",0,"")))</f>
        <v/>
      </c>
      <c r="G2" s="22" t="s">
        <v>113</v>
      </c>
      <c r="H2" s="19" t="s">
        <v>114</v>
      </c>
      <c r="I2" s="19" t="s">
        <v>114</v>
      </c>
    </row>
    <row r="3" ht="37" customHeight="1" spans="1:9">
      <c r="A3" s="19" t="s">
        <v>27</v>
      </c>
      <c r="B3" s="19" t="s">
        <v>28</v>
      </c>
      <c r="C3" s="19" t="s">
        <v>14</v>
      </c>
      <c r="D3" s="19" t="s">
        <v>115</v>
      </c>
      <c r="E3" s="19" t="s">
        <v>116</v>
      </c>
      <c r="F3" s="19" t="str">
        <f t="shared" si="0"/>
        <v/>
      </c>
      <c r="G3" s="22" t="s">
        <v>113</v>
      </c>
      <c r="H3" s="19" t="s">
        <v>114</v>
      </c>
      <c r="I3" s="19" t="s">
        <v>114</v>
      </c>
    </row>
    <row r="4" ht="37" customHeight="1" spans="1:9">
      <c r="A4" s="19" t="s">
        <v>27</v>
      </c>
      <c r="B4" s="19" t="s">
        <v>28</v>
      </c>
      <c r="C4" s="19" t="s">
        <v>117</v>
      </c>
      <c r="D4" s="19" t="s">
        <v>118</v>
      </c>
      <c r="E4" s="19" t="s">
        <v>119</v>
      </c>
      <c r="F4" s="19" t="str">
        <f t="shared" si="0"/>
        <v/>
      </c>
      <c r="G4" s="22" t="s">
        <v>113</v>
      </c>
      <c r="H4" s="19" t="s">
        <v>114</v>
      </c>
      <c r="I4" s="19" t="s">
        <v>114</v>
      </c>
    </row>
    <row r="5" ht="37" customHeight="1" spans="1:9">
      <c r="A5" s="19" t="s">
        <v>27</v>
      </c>
      <c r="B5" s="19" t="s">
        <v>28</v>
      </c>
      <c r="C5" s="19" t="s">
        <v>117</v>
      </c>
      <c r="D5" s="19" t="s">
        <v>120</v>
      </c>
      <c r="E5" s="19" t="s">
        <v>121</v>
      </c>
      <c r="F5" s="19" t="str">
        <f t="shared" si="0"/>
        <v/>
      </c>
      <c r="G5" s="22" t="s">
        <v>113</v>
      </c>
      <c r="H5" s="19" t="s">
        <v>114</v>
      </c>
      <c r="I5" s="19" t="s">
        <v>114</v>
      </c>
    </row>
    <row r="6" ht="37" customHeight="1" spans="1:9">
      <c r="A6" s="19" t="s">
        <v>27</v>
      </c>
      <c r="B6" s="19" t="s">
        <v>28</v>
      </c>
      <c r="C6" s="19" t="s">
        <v>117</v>
      </c>
      <c r="D6" s="19" t="s">
        <v>122</v>
      </c>
      <c r="E6" s="19" t="s">
        <v>123</v>
      </c>
      <c r="F6" s="19" t="str">
        <f t="shared" si="0"/>
        <v/>
      </c>
      <c r="G6" s="22" t="s">
        <v>113</v>
      </c>
      <c r="H6" s="19" t="s">
        <v>114</v>
      </c>
      <c r="I6" s="19" t="s">
        <v>114</v>
      </c>
    </row>
    <row r="7" ht="37" customHeight="1" spans="1:9">
      <c r="A7" s="19" t="s">
        <v>32</v>
      </c>
      <c r="B7" s="19" t="s">
        <v>33</v>
      </c>
      <c r="C7" s="19" t="s">
        <v>14</v>
      </c>
      <c r="D7" s="19" t="s">
        <v>111</v>
      </c>
      <c r="E7" s="19" t="s">
        <v>112</v>
      </c>
      <c r="F7" s="19" t="str">
        <f t="shared" si="0"/>
        <v/>
      </c>
      <c r="G7" s="22" t="s">
        <v>113</v>
      </c>
      <c r="H7" s="19" t="s">
        <v>114</v>
      </c>
      <c r="I7" s="19" t="s">
        <v>114</v>
      </c>
    </row>
    <row r="8" ht="37" customHeight="1" spans="1:9">
      <c r="A8" s="19" t="s">
        <v>32</v>
      </c>
      <c r="B8" s="19" t="s">
        <v>33</v>
      </c>
      <c r="C8" s="19" t="s">
        <v>14</v>
      </c>
      <c r="D8" s="19" t="s">
        <v>115</v>
      </c>
      <c r="E8" s="19" t="s">
        <v>116</v>
      </c>
      <c r="F8" s="19" t="str">
        <f t="shared" si="0"/>
        <v/>
      </c>
      <c r="G8" s="22" t="s">
        <v>113</v>
      </c>
      <c r="H8" s="19" t="s">
        <v>114</v>
      </c>
      <c r="I8" s="19" t="s">
        <v>114</v>
      </c>
    </row>
    <row r="9" ht="37" customHeight="1" spans="1:9">
      <c r="A9" s="19" t="s">
        <v>32</v>
      </c>
      <c r="B9" s="19" t="s">
        <v>33</v>
      </c>
      <c r="C9" s="19" t="s">
        <v>117</v>
      </c>
      <c r="D9" s="19" t="s">
        <v>118</v>
      </c>
      <c r="E9" s="19" t="s">
        <v>119</v>
      </c>
      <c r="F9" s="19" t="str">
        <f t="shared" si="0"/>
        <v/>
      </c>
      <c r="G9" s="22" t="s">
        <v>113</v>
      </c>
      <c r="H9" s="19" t="s">
        <v>114</v>
      </c>
      <c r="I9" s="19" t="s">
        <v>114</v>
      </c>
    </row>
    <row r="10" ht="37" customHeight="1" spans="1:9">
      <c r="A10" s="19" t="s">
        <v>32</v>
      </c>
      <c r="B10" s="19" t="s">
        <v>33</v>
      </c>
      <c r="C10" s="19" t="s">
        <v>117</v>
      </c>
      <c r="D10" s="19" t="s">
        <v>120</v>
      </c>
      <c r="E10" s="19" t="s">
        <v>121</v>
      </c>
      <c r="F10" s="19" t="str">
        <f t="shared" si="0"/>
        <v/>
      </c>
      <c r="G10" s="22" t="s">
        <v>113</v>
      </c>
      <c r="H10" s="19" t="s">
        <v>114</v>
      </c>
      <c r="I10" s="19" t="s">
        <v>114</v>
      </c>
    </row>
    <row r="11" ht="37" customHeight="1" spans="1:9">
      <c r="A11" s="19" t="s">
        <v>32</v>
      </c>
      <c r="B11" s="19" t="s">
        <v>33</v>
      </c>
      <c r="C11" s="19" t="s">
        <v>117</v>
      </c>
      <c r="D11" s="19" t="s">
        <v>122</v>
      </c>
      <c r="E11" s="19" t="s">
        <v>123</v>
      </c>
      <c r="F11" s="19" t="str">
        <f t="shared" si="0"/>
        <v/>
      </c>
      <c r="G11" s="22" t="s">
        <v>113</v>
      </c>
      <c r="H11" s="19" t="s">
        <v>114</v>
      </c>
      <c r="I11" s="19" t="s">
        <v>114</v>
      </c>
    </row>
    <row r="12" ht="37" customHeight="1" spans="1:9">
      <c r="A12" s="19" t="s">
        <v>37</v>
      </c>
      <c r="B12" s="19" t="s">
        <v>77</v>
      </c>
      <c r="C12" s="19" t="s">
        <v>14</v>
      </c>
      <c r="D12" s="19" t="s">
        <v>111</v>
      </c>
      <c r="E12" s="19" t="s">
        <v>112</v>
      </c>
      <c r="F12" s="19" t="str">
        <f t="shared" si="0"/>
        <v/>
      </c>
      <c r="G12" s="22" t="s">
        <v>113</v>
      </c>
      <c r="H12" s="19" t="s">
        <v>114</v>
      </c>
      <c r="I12" s="19" t="s">
        <v>114</v>
      </c>
    </row>
    <row r="13" ht="37" customHeight="1" spans="1:9">
      <c r="A13" s="19" t="s">
        <v>37</v>
      </c>
      <c r="B13" s="19" t="s">
        <v>77</v>
      </c>
      <c r="C13" s="19" t="s">
        <v>14</v>
      </c>
      <c r="D13" s="19" t="s">
        <v>115</v>
      </c>
      <c r="E13" s="19" t="s">
        <v>116</v>
      </c>
      <c r="F13" s="19" t="str">
        <f t="shared" si="0"/>
        <v/>
      </c>
      <c r="G13" s="22" t="s">
        <v>113</v>
      </c>
      <c r="H13" s="19" t="s">
        <v>114</v>
      </c>
      <c r="I13" s="19" t="s">
        <v>114</v>
      </c>
    </row>
    <row r="14" ht="37" customHeight="1" spans="1:9">
      <c r="A14" s="19" t="s">
        <v>37</v>
      </c>
      <c r="B14" s="19" t="s">
        <v>77</v>
      </c>
      <c r="C14" s="19" t="s">
        <v>117</v>
      </c>
      <c r="D14" s="19" t="s">
        <v>118</v>
      </c>
      <c r="E14" s="19" t="s">
        <v>119</v>
      </c>
      <c r="F14" s="19" t="str">
        <f t="shared" si="0"/>
        <v/>
      </c>
      <c r="G14" s="22" t="s">
        <v>113</v>
      </c>
      <c r="H14" s="19" t="s">
        <v>114</v>
      </c>
      <c r="I14" s="19" t="s">
        <v>114</v>
      </c>
    </row>
    <row r="15" ht="37" customHeight="1" spans="1:9">
      <c r="A15" s="19" t="s">
        <v>37</v>
      </c>
      <c r="B15" s="19" t="s">
        <v>77</v>
      </c>
      <c r="C15" s="19" t="s">
        <v>117</v>
      </c>
      <c r="D15" s="19" t="s">
        <v>120</v>
      </c>
      <c r="E15" s="19" t="s">
        <v>121</v>
      </c>
      <c r="F15" s="19" t="str">
        <f t="shared" si="0"/>
        <v/>
      </c>
      <c r="G15" s="22" t="s">
        <v>113</v>
      </c>
      <c r="H15" s="19" t="s">
        <v>114</v>
      </c>
      <c r="I15" s="19" t="s">
        <v>114</v>
      </c>
    </row>
    <row r="16" ht="37" customHeight="1" spans="1:9">
      <c r="A16" s="19" t="s">
        <v>37</v>
      </c>
      <c r="B16" s="19" t="s">
        <v>77</v>
      </c>
      <c r="C16" s="19" t="s">
        <v>117</v>
      </c>
      <c r="D16" s="19" t="s">
        <v>122</v>
      </c>
      <c r="E16" s="19" t="s">
        <v>123</v>
      </c>
      <c r="F16" s="19" t="str">
        <f t="shared" si="0"/>
        <v/>
      </c>
      <c r="G16" s="22" t="s">
        <v>113</v>
      </c>
      <c r="H16" s="19" t="s">
        <v>114</v>
      </c>
      <c r="I16" s="19" t="s">
        <v>114</v>
      </c>
    </row>
    <row r="17" ht="37" customHeight="1" spans="1:9">
      <c r="A17" s="19" t="s">
        <v>41</v>
      </c>
      <c r="B17" s="19" t="s">
        <v>82</v>
      </c>
      <c r="C17" s="19" t="s">
        <v>14</v>
      </c>
      <c r="D17" s="19" t="s">
        <v>111</v>
      </c>
      <c r="E17" s="19" t="s">
        <v>112</v>
      </c>
      <c r="F17" s="19" t="str">
        <f t="shared" si="0"/>
        <v/>
      </c>
      <c r="G17" s="22" t="s">
        <v>113</v>
      </c>
      <c r="H17" s="19" t="s">
        <v>114</v>
      </c>
      <c r="I17" s="19" t="s">
        <v>114</v>
      </c>
    </row>
    <row r="18" ht="37" customHeight="1" spans="1:9">
      <c r="A18" s="19" t="s">
        <v>41</v>
      </c>
      <c r="B18" s="19" t="s">
        <v>82</v>
      </c>
      <c r="C18" s="19" t="s">
        <v>14</v>
      </c>
      <c r="D18" s="19" t="s">
        <v>115</v>
      </c>
      <c r="E18" s="19" t="s">
        <v>116</v>
      </c>
      <c r="F18" s="19" t="str">
        <f t="shared" si="0"/>
        <v/>
      </c>
      <c r="G18" s="22" t="s">
        <v>113</v>
      </c>
      <c r="H18" s="19" t="s">
        <v>114</v>
      </c>
      <c r="I18" s="19" t="s">
        <v>114</v>
      </c>
    </row>
    <row r="19" ht="37" customHeight="1" spans="1:9">
      <c r="A19" s="19" t="s">
        <v>41</v>
      </c>
      <c r="B19" s="19" t="s">
        <v>82</v>
      </c>
      <c r="C19" s="19" t="s">
        <v>117</v>
      </c>
      <c r="D19" s="19" t="s">
        <v>118</v>
      </c>
      <c r="E19" s="19" t="s">
        <v>119</v>
      </c>
      <c r="F19" s="19" t="str">
        <f t="shared" si="0"/>
        <v/>
      </c>
      <c r="G19" s="22" t="s">
        <v>113</v>
      </c>
      <c r="H19" s="19" t="s">
        <v>114</v>
      </c>
      <c r="I19" s="19" t="s">
        <v>114</v>
      </c>
    </row>
    <row r="20" ht="37" customHeight="1" spans="1:9">
      <c r="A20" s="19" t="s">
        <v>41</v>
      </c>
      <c r="B20" s="19" t="s">
        <v>82</v>
      </c>
      <c r="C20" s="19" t="s">
        <v>117</v>
      </c>
      <c r="D20" s="19" t="s">
        <v>120</v>
      </c>
      <c r="E20" s="19" t="s">
        <v>121</v>
      </c>
      <c r="F20" s="19" t="str">
        <f t="shared" si="0"/>
        <v/>
      </c>
      <c r="G20" s="22" t="s">
        <v>113</v>
      </c>
      <c r="H20" s="19" t="s">
        <v>114</v>
      </c>
      <c r="I20" s="19" t="s">
        <v>114</v>
      </c>
    </row>
    <row r="21" ht="37" customHeight="1" spans="1:9">
      <c r="A21" s="19" t="s">
        <v>41</v>
      </c>
      <c r="B21" s="19" t="s">
        <v>82</v>
      </c>
      <c r="C21" s="19" t="s">
        <v>117</v>
      </c>
      <c r="D21" s="19" t="s">
        <v>122</v>
      </c>
      <c r="E21" s="19" t="s">
        <v>123</v>
      </c>
      <c r="F21" s="19" t="str">
        <f t="shared" si="0"/>
        <v/>
      </c>
      <c r="G21" s="22" t="s">
        <v>113</v>
      </c>
      <c r="H21" s="19" t="s">
        <v>114</v>
      </c>
      <c r="I21" s="19" t="s">
        <v>114</v>
      </c>
    </row>
    <row r="22" ht="37" customHeight="1" spans="1:9">
      <c r="A22" s="19" t="s">
        <v>45</v>
      </c>
      <c r="B22" s="19" t="s">
        <v>46</v>
      </c>
      <c r="C22" s="19" t="s">
        <v>14</v>
      </c>
      <c r="D22" s="19" t="s">
        <v>111</v>
      </c>
      <c r="E22" s="19" t="s">
        <v>112</v>
      </c>
      <c r="F22" s="19" t="str">
        <f t="shared" si="0"/>
        <v/>
      </c>
      <c r="G22" s="22" t="s">
        <v>113</v>
      </c>
      <c r="H22" s="19" t="s">
        <v>114</v>
      </c>
      <c r="I22" s="19" t="s">
        <v>114</v>
      </c>
    </row>
    <row r="23" ht="37" customHeight="1" spans="1:9">
      <c r="A23" s="19" t="s">
        <v>45</v>
      </c>
      <c r="B23" s="19" t="s">
        <v>46</v>
      </c>
      <c r="C23" s="19" t="s">
        <v>14</v>
      </c>
      <c r="D23" s="19" t="s">
        <v>115</v>
      </c>
      <c r="E23" s="19" t="s">
        <v>116</v>
      </c>
      <c r="F23" s="19" t="str">
        <f t="shared" si="0"/>
        <v/>
      </c>
      <c r="G23" s="22" t="s">
        <v>113</v>
      </c>
      <c r="H23" s="19" t="s">
        <v>114</v>
      </c>
      <c r="I23" s="19" t="s">
        <v>114</v>
      </c>
    </row>
    <row r="24" ht="37" customHeight="1" spans="1:9">
      <c r="A24" s="19" t="s">
        <v>45</v>
      </c>
      <c r="B24" s="19" t="s">
        <v>46</v>
      </c>
      <c r="C24" s="19" t="s">
        <v>117</v>
      </c>
      <c r="D24" s="19" t="s">
        <v>118</v>
      </c>
      <c r="E24" s="19" t="s">
        <v>119</v>
      </c>
      <c r="F24" s="19" t="str">
        <f t="shared" si="0"/>
        <v/>
      </c>
      <c r="G24" s="22" t="s">
        <v>113</v>
      </c>
      <c r="H24" s="19" t="s">
        <v>114</v>
      </c>
      <c r="I24" s="19" t="s">
        <v>114</v>
      </c>
    </row>
    <row r="25" ht="37" customHeight="1" spans="1:9">
      <c r="A25" s="19" t="s">
        <v>45</v>
      </c>
      <c r="B25" s="19" t="s">
        <v>46</v>
      </c>
      <c r="C25" s="19" t="s">
        <v>117</v>
      </c>
      <c r="D25" s="19" t="s">
        <v>120</v>
      </c>
      <c r="E25" s="19" t="s">
        <v>121</v>
      </c>
      <c r="F25" s="19" t="str">
        <f t="shared" si="0"/>
        <v/>
      </c>
      <c r="G25" s="22" t="s">
        <v>113</v>
      </c>
      <c r="H25" s="19" t="s">
        <v>114</v>
      </c>
      <c r="I25" s="19" t="s">
        <v>114</v>
      </c>
    </row>
    <row r="26" ht="37" customHeight="1" spans="1:9">
      <c r="A26" s="19" t="s">
        <v>45</v>
      </c>
      <c r="B26" s="19" t="s">
        <v>46</v>
      </c>
      <c r="C26" s="19" t="s">
        <v>117</v>
      </c>
      <c r="D26" s="19" t="s">
        <v>122</v>
      </c>
      <c r="E26" s="19" t="s">
        <v>123</v>
      </c>
      <c r="F26" s="19" t="str">
        <f t="shared" si="0"/>
        <v/>
      </c>
      <c r="G26" s="22" t="s">
        <v>113</v>
      </c>
      <c r="H26" s="19" t="s">
        <v>114</v>
      </c>
      <c r="I26" s="19" t="s">
        <v>114</v>
      </c>
    </row>
    <row r="27" ht="37" customHeight="1" spans="1:9">
      <c r="A27" s="19" t="s">
        <v>50</v>
      </c>
      <c r="B27" s="19" t="s">
        <v>91</v>
      </c>
      <c r="C27" s="19" t="s">
        <v>14</v>
      </c>
      <c r="D27" s="19" t="s">
        <v>111</v>
      </c>
      <c r="E27" s="19" t="s">
        <v>112</v>
      </c>
      <c r="F27" s="19" t="str">
        <f t="shared" si="0"/>
        <v/>
      </c>
      <c r="G27" s="22" t="s">
        <v>113</v>
      </c>
      <c r="H27" s="19" t="s">
        <v>114</v>
      </c>
      <c r="I27" s="19" t="s">
        <v>114</v>
      </c>
    </row>
    <row r="28" ht="37" customHeight="1" spans="1:9">
      <c r="A28" s="19" t="s">
        <v>50</v>
      </c>
      <c r="B28" s="19" t="s">
        <v>91</v>
      </c>
      <c r="C28" s="19" t="s">
        <v>14</v>
      </c>
      <c r="D28" s="19" t="s">
        <v>115</v>
      </c>
      <c r="E28" s="19" t="s">
        <v>116</v>
      </c>
      <c r="F28" s="19" t="str">
        <f t="shared" si="0"/>
        <v/>
      </c>
      <c r="G28" s="22" t="s">
        <v>113</v>
      </c>
      <c r="H28" s="19" t="s">
        <v>114</v>
      </c>
      <c r="I28" s="19" t="s">
        <v>114</v>
      </c>
    </row>
    <row r="29" ht="37" customHeight="1" spans="1:9">
      <c r="A29" s="19" t="s">
        <v>50</v>
      </c>
      <c r="B29" s="19" t="s">
        <v>91</v>
      </c>
      <c r="C29" s="19" t="s">
        <v>117</v>
      </c>
      <c r="D29" s="19" t="s">
        <v>118</v>
      </c>
      <c r="E29" s="19" t="s">
        <v>119</v>
      </c>
      <c r="F29" s="19" t="str">
        <f t="shared" si="0"/>
        <v/>
      </c>
      <c r="G29" s="22" t="s">
        <v>113</v>
      </c>
      <c r="H29" s="19" t="s">
        <v>114</v>
      </c>
      <c r="I29" s="19" t="s">
        <v>114</v>
      </c>
    </row>
    <row r="30" ht="37" customHeight="1" spans="1:9">
      <c r="A30" s="19" t="s">
        <v>50</v>
      </c>
      <c r="B30" s="19" t="s">
        <v>91</v>
      </c>
      <c r="C30" s="19" t="s">
        <v>117</v>
      </c>
      <c r="D30" s="19" t="s">
        <v>120</v>
      </c>
      <c r="E30" s="19" t="s">
        <v>121</v>
      </c>
      <c r="F30" s="19" t="str">
        <f t="shared" si="0"/>
        <v/>
      </c>
      <c r="G30" s="22" t="s">
        <v>113</v>
      </c>
      <c r="H30" s="19" t="s">
        <v>114</v>
      </c>
      <c r="I30" s="19" t="s">
        <v>114</v>
      </c>
    </row>
    <row r="31" ht="37" customHeight="1" spans="1:9">
      <c r="A31" s="19" t="s">
        <v>50</v>
      </c>
      <c r="B31" s="19" t="s">
        <v>91</v>
      </c>
      <c r="C31" s="19" t="s">
        <v>117</v>
      </c>
      <c r="D31" s="19" t="s">
        <v>122</v>
      </c>
      <c r="E31" s="19" t="s">
        <v>123</v>
      </c>
      <c r="F31" s="19" t="str">
        <f t="shared" si="0"/>
        <v/>
      </c>
      <c r="G31" s="22" t="s">
        <v>113</v>
      </c>
      <c r="H31" s="19" t="s">
        <v>114</v>
      </c>
      <c r="I31" s="19" t="s">
        <v>114</v>
      </c>
    </row>
    <row r="32" ht="37" customHeight="1" spans="1:9">
      <c r="A32" s="19" t="s">
        <v>54</v>
      </c>
      <c r="B32" s="19" t="s">
        <v>55</v>
      </c>
      <c r="C32" s="19" t="s">
        <v>14</v>
      </c>
      <c r="D32" s="19" t="s">
        <v>111</v>
      </c>
      <c r="E32" s="19" t="s">
        <v>112</v>
      </c>
      <c r="F32" s="19" t="str">
        <f t="shared" si="0"/>
        <v/>
      </c>
      <c r="G32" s="22" t="s">
        <v>113</v>
      </c>
      <c r="H32" s="19" t="s">
        <v>114</v>
      </c>
      <c r="I32" s="19" t="s">
        <v>114</v>
      </c>
    </row>
    <row r="33" ht="37" customHeight="1" spans="1:9">
      <c r="A33" s="19" t="s">
        <v>54</v>
      </c>
      <c r="B33" s="19" t="s">
        <v>55</v>
      </c>
      <c r="C33" s="19" t="s">
        <v>14</v>
      </c>
      <c r="D33" s="19" t="s">
        <v>115</v>
      </c>
      <c r="E33" s="19" t="s">
        <v>116</v>
      </c>
      <c r="F33" s="19" t="str">
        <f t="shared" si="0"/>
        <v/>
      </c>
      <c r="G33" s="22" t="s">
        <v>113</v>
      </c>
      <c r="H33" s="19" t="s">
        <v>114</v>
      </c>
      <c r="I33" s="19" t="s">
        <v>114</v>
      </c>
    </row>
    <row r="34" ht="37" customHeight="1" spans="1:9">
      <c r="A34" s="19" t="s">
        <v>54</v>
      </c>
      <c r="B34" s="19" t="s">
        <v>55</v>
      </c>
      <c r="C34" s="19" t="s">
        <v>117</v>
      </c>
      <c r="D34" s="19" t="s">
        <v>118</v>
      </c>
      <c r="E34" s="19" t="s">
        <v>119</v>
      </c>
      <c r="F34" s="19" t="str">
        <f t="shared" si="0"/>
        <v/>
      </c>
      <c r="G34" s="22" t="s">
        <v>113</v>
      </c>
      <c r="H34" s="19" t="s">
        <v>114</v>
      </c>
      <c r="I34" s="19" t="s">
        <v>114</v>
      </c>
    </row>
    <row r="35" ht="37" customHeight="1" spans="1:9">
      <c r="A35" s="19" t="s">
        <v>54</v>
      </c>
      <c r="B35" s="19" t="s">
        <v>55</v>
      </c>
      <c r="C35" s="19" t="s">
        <v>117</v>
      </c>
      <c r="D35" s="19" t="s">
        <v>120</v>
      </c>
      <c r="E35" s="19" t="s">
        <v>121</v>
      </c>
      <c r="F35" s="19" t="str">
        <f t="shared" si="0"/>
        <v/>
      </c>
      <c r="G35" s="22" t="s">
        <v>113</v>
      </c>
      <c r="H35" s="19" t="s">
        <v>114</v>
      </c>
      <c r="I35" s="19" t="s">
        <v>114</v>
      </c>
    </row>
    <row r="36" ht="37" customHeight="1" spans="1:9">
      <c r="A36" s="19" t="s">
        <v>54</v>
      </c>
      <c r="B36" s="19" t="s">
        <v>55</v>
      </c>
      <c r="C36" s="19" t="s">
        <v>117</v>
      </c>
      <c r="D36" s="19" t="s">
        <v>122</v>
      </c>
      <c r="E36" s="19" t="s">
        <v>123</v>
      </c>
      <c r="F36" s="19" t="str">
        <f t="shared" si="0"/>
        <v/>
      </c>
      <c r="G36" s="22" t="s">
        <v>113</v>
      </c>
      <c r="H36" s="19" t="s">
        <v>114</v>
      </c>
      <c r="I36" s="19" t="s">
        <v>114</v>
      </c>
    </row>
    <row r="37" ht="37" customHeight="1" spans="1:9">
      <c r="A37" s="19" t="s">
        <v>59</v>
      </c>
      <c r="B37" s="19" t="s">
        <v>60</v>
      </c>
      <c r="C37" s="19" t="s">
        <v>14</v>
      </c>
      <c r="D37" s="19" t="s">
        <v>111</v>
      </c>
      <c r="E37" s="19" t="s">
        <v>112</v>
      </c>
      <c r="F37" s="19" t="str">
        <f t="shared" si="0"/>
        <v/>
      </c>
      <c r="G37" s="22" t="s">
        <v>113</v>
      </c>
      <c r="H37" s="19" t="s">
        <v>114</v>
      </c>
      <c r="I37" s="19" t="s">
        <v>114</v>
      </c>
    </row>
    <row r="38" ht="37" customHeight="1" spans="1:9">
      <c r="A38" s="19" t="s">
        <v>59</v>
      </c>
      <c r="B38" s="19" t="s">
        <v>60</v>
      </c>
      <c r="C38" s="19" t="s">
        <v>14</v>
      </c>
      <c r="D38" s="19" t="s">
        <v>115</v>
      </c>
      <c r="E38" s="19" t="s">
        <v>116</v>
      </c>
      <c r="F38" s="19" t="str">
        <f t="shared" si="0"/>
        <v/>
      </c>
      <c r="G38" s="22" t="s">
        <v>113</v>
      </c>
      <c r="H38" s="19" t="s">
        <v>114</v>
      </c>
      <c r="I38" s="19" t="s">
        <v>114</v>
      </c>
    </row>
    <row r="39" ht="37" customHeight="1" spans="1:9">
      <c r="A39" s="19" t="s">
        <v>59</v>
      </c>
      <c r="B39" s="19" t="s">
        <v>60</v>
      </c>
      <c r="C39" s="19" t="s">
        <v>117</v>
      </c>
      <c r="D39" s="19" t="s">
        <v>118</v>
      </c>
      <c r="E39" s="19" t="s">
        <v>119</v>
      </c>
      <c r="F39" s="19" t="str">
        <f t="shared" si="0"/>
        <v/>
      </c>
      <c r="G39" s="22" t="s">
        <v>113</v>
      </c>
      <c r="H39" s="19" t="s">
        <v>114</v>
      </c>
      <c r="I39" s="19" t="s">
        <v>114</v>
      </c>
    </row>
    <row r="40" ht="37" customHeight="1" spans="1:9">
      <c r="A40" s="19" t="s">
        <v>59</v>
      </c>
      <c r="B40" s="19" t="s">
        <v>60</v>
      </c>
      <c r="C40" s="19" t="s">
        <v>117</v>
      </c>
      <c r="D40" s="19" t="s">
        <v>120</v>
      </c>
      <c r="E40" s="19" t="s">
        <v>121</v>
      </c>
      <c r="F40" s="19" t="str">
        <f t="shared" si="0"/>
        <v/>
      </c>
      <c r="G40" s="22" t="s">
        <v>113</v>
      </c>
      <c r="H40" s="19" t="s">
        <v>114</v>
      </c>
      <c r="I40" s="19" t="s">
        <v>114</v>
      </c>
    </row>
    <row r="41" ht="37" customHeight="1" spans="1:9">
      <c r="A41" s="19" t="s">
        <v>59</v>
      </c>
      <c r="B41" s="19" t="s">
        <v>60</v>
      </c>
      <c r="C41" s="19" t="s">
        <v>117</v>
      </c>
      <c r="D41" s="19" t="s">
        <v>122</v>
      </c>
      <c r="E41" s="19" t="s">
        <v>123</v>
      </c>
      <c r="F41" s="19" t="str">
        <f t="shared" si="0"/>
        <v/>
      </c>
      <c r="G41" s="22" t="s">
        <v>113</v>
      </c>
      <c r="H41" s="19" t="s">
        <v>114</v>
      </c>
      <c r="I41" s="19" t="s">
        <v>114</v>
      </c>
    </row>
  </sheetData>
  <dataValidations count="1">
    <dataValidation type="list" sqref="G2:G41">
      <formula1>"미평가,충족,부분,미충족"</formula1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workbookViewId="0">
      <selection activeCell="A1" sqref="A1"/>
    </sheetView>
  </sheetViews>
  <sheetFormatPr defaultColWidth="9" defaultRowHeight="14.25" outlineLevelCol="3"/>
  <cols>
    <col min="1" max="1" width="55" customWidth="1"/>
    <col min="2" max="2" width="25" customWidth="1"/>
    <col min="3" max="3" width="22" customWidth="1"/>
    <col min="4" max="4" width="34" customWidth="1"/>
  </cols>
  <sheetData>
    <row r="1" ht="32" customHeight="1" spans="1:4">
      <c r="A1" s="18" t="s">
        <v>124</v>
      </c>
      <c r="B1" s="18" t="s">
        <v>125</v>
      </c>
      <c r="C1" s="18" t="s">
        <v>126</v>
      </c>
      <c r="D1" s="18" t="s">
        <v>127</v>
      </c>
    </row>
    <row r="2" ht="30" customHeight="1" spans="1:4">
      <c r="A2" t="s">
        <v>128</v>
      </c>
      <c r="B2">
        <f>COUNTIFS(채점입력!C2:C41,"K1",채점입력!G2:G41,"&lt;&gt;미평가")</f>
        <v>0</v>
      </c>
      <c r="C2">
        <f>SUMIF(채점입력!C2:C41,"K1",채점입력!F2:F41)</f>
        <v>0</v>
      </c>
      <c r="D2" t="str">
        <f>IF(B2&lt;16,"측정 중",IF(C2/16&gt;=0.9,"달성 "&amp;TEXT(C2/16,"0.0%"),"미달 "&amp;TEXT(C2/16,"0.0%")))</f>
        <v>측정 중</v>
      </c>
    </row>
    <row r="3" ht="30" customHeight="1" spans="1:4">
      <c r="A3" t="s">
        <v>129</v>
      </c>
      <c r="B3">
        <f>COUNTIFS(채점입력!C2:C41,"진단",채점입력!G2:G41,"&lt;&gt;미평가")</f>
        <v>0</v>
      </c>
      <c r="C3">
        <f>SUMIF(채점입력!C2:C41,"진단",채점입력!F2:F41)</f>
        <v>0</v>
      </c>
      <c r="D3" t="str">
        <f>IF(B3&lt;24,"측정 중",TEXT(C3/24,"0.0%"))</f>
        <v>측정 중</v>
      </c>
    </row>
    <row r="4" ht="30" customHeight="1" spans="1:4">
      <c r="A4" t="s">
        <v>130</v>
      </c>
      <c r="B4">
        <f>B2+B3</f>
        <v>0</v>
      </c>
      <c r="C4">
        <f>C2+C3</f>
        <v>0</v>
      </c>
      <c r="D4" t="str">
        <f>IF(B4&lt;40,"측정 중",TEXT(C4/40,"0.0%"))</f>
        <v>측정 중</v>
      </c>
    </row>
    <row r="5" ht="30" customHeight="1" spans="1:4">
      <c r="A5" t="s">
        <v>131</v>
      </c>
      <c r="B5">
        <f>B4</f>
        <v>0</v>
      </c>
    </row>
    <row r="6" ht="30" customHeight="1"/>
    <row r="7" ht="30" customHeight="1"/>
    <row r="8" ht="30" customHeight="1" spans="1:4">
      <c r="A8" s="18" t="s">
        <v>22</v>
      </c>
      <c r="B8" s="18" t="s">
        <v>132</v>
      </c>
      <c r="C8" s="18" t="s">
        <v>133</v>
      </c>
      <c r="D8" s="18" t="s">
        <v>134</v>
      </c>
    </row>
    <row r="9" ht="30" customHeight="1" spans="1:4">
      <c r="A9" t="s">
        <v>135</v>
      </c>
      <c r="B9">
        <f>COUNTIFS(채점입력!A2:A41,"S1",채점입력!G2:G41,"&lt;&gt;미평가")</f>
        <v>0</v>
      </c>
      <c r="C9">
        <f>SUMIF(채점입력!A2:A41,"S1",채점입력!F2:F41)</f>
        <v>0</v>
      </c>
      <c r="D9" t="str">
        <f t="shared" ref="D9:D16" si="0">IF(B9&lt;5,"측정 중",TEXT(C9/5,"0.0%"))</f>
        <v>측정 중</v>
      </c>
    </row>
    <row r="10" ht="30" customHeight="1" spans="1:4">
      <c r="A10" t="s">
        <v>136</v>
      </c>
      <c r="B10">
        <f>COUNTIFS(채점입력!A2:A41,"S2",채점입력!G2:G41,"&lt;&gt;미평가")</f>
        <v>0</v>
      </c>
      <c r="C10">
        <f>SUMIF(채점입력!A2:A41,"S2",채점입력!F2:F41)</f>
        <v>0</v>
      </c>
      <c r="D10" t="str">
        <f t="shared" si="0"/>
        <v>측정 중</v>
      </c>
    </row>
    <row r="11" ht="30" customHeight="1" spans="1:4">
      <c r="A11" t="s">
        <v>137</v>
      </c>
      <c r="B11">
        <f>COUNTIFS(채점입력!A2:A41,"S3",채점입력!G2:G41,"&lt;&gt;미평가")</f>
        <v>0</v>
      </c>
      <c r="C11">
        <f>SUMIF(채점입력!A2:A41,"S3",채점입력!F2:F41)</f>
        <v>0</v>
      </c>
      <c r="D11" t="str">
        <f t="shared" si="0"/>
        <v>측정 중</v>
      </c>
    </row>
    <row r="12" ht="30" customHeight="1" spans="1:4">
      <c r="A12" t="s">
        <v>138</v>
      </c>
      <c r="B12">
        <f>COUNTIFS(채점입력!A2:A41,"S4",채점입력!G2:G41,"&lt;&gt;미평가")</f>
        <v>0</v>
      </c>
      <c r="C12">
        <f>SUMIF(채점입력!A2:A41,"S4",채점입력!F2:F41)</f>
        <v>0</v>
      </c>
      <c r="D12" t="str">
        <f t="shared" si="0"/>
        <v>측정 중</v>
      </c>
    </row>
    <row r="13" ht="30" customHeight="1" spans="1:4">
      <c r="A13" t="s">
        <v>139</v>
      </c>
      <c r="B13">
        <f>COUNTIFS(채점입력!A2:A41,"S5",채점입력!G2:G41,"&lt;&gt;미평가")</f>
        <v>0</v>
      </c>
      <c r="C13">
        <f>SUMIF(채점입력!A2:A41,"S5",채점입력!F2:F41)</f>
        <v>0</v>
      </c>
      <c r="D13" t="str">
        <f t="shared" si="0"/>
        <v>측정 중</v>
      </c>
    </row>
    <row r="14" ht="30" customHeight="1" spans="1:4">
      <c r="A14" t="s">
        <v>140</v>
      </c>
      <c r="B14">
        <f>COUNTIFS(채점입력!A2:A41,"S6",채점입력!G2:G41,"&lt;&gt;미평가")</f>
        <v>0</v>
      </c>
      <c r="C14">
        <f>SUMIF(채점입력!A2:A41,"S6",채점입력!F2:F41)</f>
        <v>0</v>
      </c>
      <c r="D14" t="str">
        <f t="shared" si="0"/>
        <v>측정 중</v>
      </c>
    </row>
    <row r="15" ht="30" customHeight="1" spans="1:4">
      <c r="A15" t="s">
        <v>141</v>
      </c>
      <c r="B15">
        <f>COUNTIFS(채점입력!A2:A41,"S7",채점입력!G2:G41,"&lt;&gt;미평가")</f>
        <v>0</v>
      </c>
      <c r="C15">
        <f>SUMIF(채점입력!A2:A41,"S7",채점입력!F2:F41)</f>
        <v>0</v>
      </c>
      <c r="D15" t="str">
        <f t="shared" si="0"/>
        <v>측정 중</v>
      </c>
    </row>
    <row r="16" ht="30" customHeight="1" spans="1:4">
      <c r="A16" t="s">
        <v>142</v>
      </c>
      <c r="B16">
        <f>COUNTIFS(채점입력!A2:A41,"S8",채점입력!G2:G41,"&lt;&gt;미평가")</f>
        <v>0</v>
      </c>
      <c r="C16">
        <f>SUMIF(채점입력!A2:A41,"S8",채점입력!F2:F41)</f>
        <v>0</v>
      </c>
      <c r="D16" t="str">
        <f t="shared" si="0"/>
        <v>측정 중</v>
      </c>
    </row>
    <row r="17" ht="30" customHeight="1"/>
    <row r="18" ht="30" customHeight="1" spans="1:4">
      <c r="A18" s="18" t="s">
        <v>143</v>
      </c>
      <c r="B18" s="18" t="s">
        <v>144</v>
      </c>
    </row>
    <row r="19" ht="30" customHeight="1" spans="1:4">
      <c r="A19" t="s">
        <v>145</v>
      </c>
      <c r="B19" t="s">
        <v>146</v>
      </c>
    </row>
    <row r="20" ht="30" customHeight="1" spans="1:4">
      <c r="A20" t="s">
        <v>147</v>
      </c>
      <c r="B20" t="s">
        <v>148</v>
      </c>
    </row>
    <row r="21" ht="30" customHeight="1" spans="1:4">
      <c r="A21" t="s">
        <v>149</v>
      </c>
      <c r="B21" t="s">
        <v>150</v>
      </c>
    </row>
    <row r="22" ht="30" customHeight="1" spans="1:4">
      <c r="A22" t="s">
        <v>151</v>
      </c>
      <c r="B22" t="s">
        <v>150</v>
      </c>
    </row>
    <row r="23" ht="30" customHeight="1" spans="1:4">
      <c r="A23" t="s">
        <v>152</v>
      </c>
      <c r="B23" t="s">
        <v>153</v>
      </c>
    </row>
    <row r="26" ht="48" customHeight="1" spans="1:4">
      <c r="A26" s="19" t="s">
        <v>154</v>
      </c>
      <c r="B26" s="19" t="s">
        <v>155</v>
      </c>
      <c r="C26" s="19" t="s">
        <v>156</v>
      </c>
      <c r="D26" s="19" t="s">
        <v>157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25" outlineLevelCol="6"/>
  <cols>
    <col min="1" max="1" width="10" customWidth="1"/>
    <col min="2" max="2" width="26" customWidth="1"/>
    <col min="3" max="3" width="16" customWidth="1"/>
    <col min="4" max="4" width="67" customWidth="1"/>
    <col min="5" max="5" width="14" customWidth="1"/>
    <col min="6" max="6" width="16" customWidth="1"/>
    <col min="7" max="7" width="50" customWidth="1"/>
  </cols>
  <sheetData>
    <row r="1" ht="30" customHeight="1" spans="1:7">
      <c r="A1" s="18" t="s">
        <v>158</v>
      </c>
      <c r="B1" s="18" t="s">
        <v>159</v>
      </c>
      <c r="C1" s="18" t="s">
        <v>160</v>
      </c>
      <c r="D1" s="18" t="s">
        <v>161</v>
      </c>
      <c r="E1" s="18" t="s">
        <v>162</v>
      </c>
      <c r="F1" s="18" t="s">
        <v>163</v>
      </c>
      <c r="G1" s="18" t="s">
        <v>164</v>
      </c>
    </row>
    <row r="2" ht="25" customHeight="1" spans="1:7">
      <c r="A2" t="s">
        <v>165</v>
      </c>
      <c r="B2" t="s">
        <v>166</v>
      </c>
      <c r="C2" t="s">
        <v>167</v>
      </c>
      <c r="D2" s="19" t="s">
        <v>168</v>
      </c>
      <c r="E2" t="s">
        <v>169</v>
      </c>
      <c r="F2" t="s">
        <v>170</v>
      </c>
      <c r="G2" t="s">
        <v>171</v>
      </c>
    </row>
    <row r="3" ht="25" customHeight="1" spans="1:7">
      <c r="A3" t="s">
        <v>172</v>
      </c>
      <c r="B3" t="s">
        <v>173</v>
      </c>
      <c r="C3" t="s">
        <v>174</v>
      </c>
      <c r="D3" s="19" t="s">
        <v>175</v>
      </c>
      <c r="E3" t="s">
        <v>176</v>
      </c>
      <c r="F3" t="s">
        <v>170</v>
      </c>
      <c r="G3" t="s">
        <v>177</v>
      </c>
    </row>
    <row r="4" ht="25" customHeight="1" spans="1:7">
      <c r="A4" t="s">
        <v>178</v>
      </c>
      <c r="B4" t="s">
        <v>179</v>
      </c>
      <c r="C4" t="s">
        <v>174</v>
      </c>
      <c r="D4" s="19" t="s">
        <v>180</v>
      </c>
      <c r="E4" t="s">
        <v>181</v>
      </c>
      <c r="F4" t="s">
        <v>170</v>
      </c>
      <c r="G4" t="s">
        <v>182</v>
      </c>
    </row>
    <row r="5" ht="25" customHeight="1" spans="1:7">
      <c r="A5" t="s">
        <v>183</v>
      </c>
      <c r="B5" t="s">
        <v>184</v>
      </c>
      <c r="C5" t="s">
        <v>185</v>
      </c>
      <c r="D5" s="19" t="s">
        <v>186</v>
      </c>
      <c r="E5" t="s">
        <v>187</v>
      </c>
      <c r="F5" t="s">
        <v>170</v>
      </c>
      <c r="G5" t="s">
        <v>188</v>
      </c>
    </row>
    <row r="6" ht="25" customHeight="1" spans="1:7">
      <c r="A6" t="s">
        <v>189</v>
      </c>
      <c r="B6" t="s">
        <v>190</v>
      </c>
      <c r="C6" t="s">
        <v>191</v>
      </c>
      <c r="D6" s="19" t="s">
        <v>192</v>
      </c>
      <c r="E6" t="s">
        <v>176</v>
      </c>
      <c r="F6" t="s">
        <v>170</v>
      </c>
      <c r="G6" t="s">
        <v>193</v>
      </c>
    </row>
    <row r="7" ht="25" customHeight="1" spans="1:7">
      <c r="A7" t="s">
        <v>194</v>
      </c>
      <c r="B7" t="s">
        <v>195</v>
      </c>
      <c r="C7" t="s">
        <v>196</v>
      </c>
      <c r="D7" s="19" t="s">
        <v>197</v>
      </c>
      <c r="E7" t="s">
        <v>187</v>
      </c>
      <c r="F7" t="s">
        <v>170</v>
      </c>
      <c r="G7" t="s">
        <v>198</v>
      </c>
    </row>
    <row r="8" ht="25" customHeight="1" spans="1:7">
      <c r="A8" t="s">
        <v>199</v>
      </c>
      <c r="B8" t="s">
        <v>200</v>
      </c>
      <c r="C8" t="s">
        <v>196</v>
      </c>
      <c r="D8" s="19" t="s">
        <v>201</v>
      </c>
      <c r="E8" t="s">
        <v>187</v>
      </c>
      <c r="F8" t="s">
        <v>202</v>
      </c>
      <c r="G8" t="s">
        <v>203</v>
      </c>
    </row>
    <row r="9" ht="25" customHeight="1" spans="1:7">
      <c r="A9" t="s">
        <v>204</v>
      </c>
      <c r="B9" t="s">
        <v>205</v>
      </c>
      <c r="C9" t="s">
        <v>196</v>
      </c>
      <c r="D9" s="19" t="s">
        <v>206</v>
      </c>
      <c r="E9" t="s">
        <v>187</v>
      </c>
      <c r="F9" t="s">
        <v>202</v>
      </c>
      <c r="G9" t="s">
        <v>207</v>
      </c>
    </row>
    <row r="10" ht="25" customHeight="1" spans="1:7">
      <c r="A10" t="s">
        <v>208</v>
      </c>
      <c r="B10" t="s">
        <v>209</v>
      </c>
      <c r="C10" t="s">
        <v>167</v>
      </c>
      <c r="D10" s="19" t="s">
        <v>210</v>
      </c>
      <c r="E10" t="s">
        <v>187</v>
      </c>
      <c r="F10" t="s">
        <v>170</v>
      </c>
      <c r="G10" t="s">
        <v>211</v>
      </c>
    </row>
    <row r="11" ht="25" customHeight="1" spans="1:7">
      <c r="A11" t="s">
        <v>212</v>
      </c>
      <c r="B11" t="s">
        <v>213</v>
      </c>
      <c r="C11" t="s">
        <v>174</v>
      </c>
      <c r="D11" s="19" t="s">
        <v>214</v>
      </c>
      <c r="E11" t="s">
        <v>187</v>
      </c>
      <c r="F11" t="s">
        <v>170</v>
      </c>
      <c r="G11" t="s">
        <v>215</v>
      </c>
    </row>
    <row r="12" ht="25" customHeight="1" spans="1:7">
      <c r="A12" t="s">
        <v>216</v>
      </c>
      <c r="B12" t="s">
        <v>217</v>
      </c>
      <c r="C12" t="s">
        <v>174</v>
      </c>
      <c r="D12" s="19" t="s">
        <v>218</v>
      </c>
      <c r="E12" t="s">
        <v>187</v>
      </c>
      <c r="F12" t="s">
        <v>219</v>
      </c>
      <c r="G12" t="s">
        <v>220</v>
      </c>
    </row>
    <row r="13" ht="25" customHeight="1" spans="1:7">
      <c r="A13" t="s">
        <v>221</v>
      </c>
      <c r="B13" t="s">
        <v>222</v>
      </c>
      <c r="C13" t="s">
        <v>174</v>
      </c>
      <c r="D13" s="19" t="s">
        <v>223</v>
      </c>
      <c r="E13" t="s">
        <v>187</v>
      </c>
      <c r="F13" t="s">
        <v>219</v>
      </c>
      <c r="G13" t="s">
        <v>224</v>
      </c>
    </row>
    <row r="14" ht="25" customHeight="1" spans="1:7">
      <c r="A14" t="s">
        <v>225</v>
      </c>
      <c r="B14" t="s">
        <v>226</v>
      </c>
      <c r="C14" t="s">
        <v>174</v>
      </c>
      <c r="D14" s="19" t="s">
        <v>227</v>
      </c>
      <c r="E14" t="s">
        <v>187</v>
      </c>
      <c r="F14" t="s">
        <v>202</v>
      </c>
      <c r="G14" t="s">
        <v>228</v>
      </c>
    </row>
    <row r="15" ht="25" customHeight="1" spans="1:7">
      <c r="A15" t="s">
        <v>229</v>
      </c>
      <c r="B15" t="s">
        <v>230</v>
      </c>
      <c r="C15" t="s">
        <v>231</v>
      </c>
      <c r="D15" s="19" t="s">
        <v>232</v>
      </c>
      <c r="E15" t="s">
        <v>233</v>
      </c>
      <c r="F15" t="s">
        <v>170</v>
      </c>
      <c r="G15" t="s">
        <v>234</v>
      </c>
    </row>
    <row r="16" ht="25" customHeight="1" spans="1:7">
      <c r="A16" t="s">
        <v>235</v>
      </c>
      <c r="B16" t="s">
        <v>236</v>
      </c>
      <c r="C16" t="s">
        <v>237</v>
      </c>
      <c r="D16" s="19" t="s">
        <v>238</v>
      </c>
      <c r="E16" t="s">
        <v>239</v>
      </c>
      <c r="F16" t="s">
        <v>202</v>
      </c>
      <c r="G16" t="s">
        <v>240</v>
      </c>
    </row>
    <row r="17" ht="25" customHeight="1" spans="1:7">
      <c r="A17" t="s">
        <v>241</v>
      </c>
      <c r="B17" t="s">
        <v>242</v>
      </c>
      <c r="C17" t="s">
        <v>167</v>
      </c>
      <c r="D17" s="19" t="s">
        <v>243</v>
      </c>
      <c r="E17" t="s">
        <v>187</v>
      </c>
      <c r="F17" t="s">
        <v>202</v>
      </c>
      <c r="G17" t="s">
        <v>244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25" outlineLevelRow="2"/>
  <cols>
    <col min="1" max="1" width="13" customWidth="1"/>
    <col min="2" max="2" width="16" customWidth="1"/>
    <col min="3" max="3" width="40" customWidth="1"/>
    <col min="4" max="5" width="23" customWidth="1"/>
    <col min="6" max="6" width="30" customWidth="1"/>
    <col min="7" max="7" width="44" customWidth="1"/>
    <col min="8" max="8" width="24" customWidth="1"/>
    <col min="9" max="9" width="45" customWidth="1"/>
  </cols>
  <sheetData>
    <row r="1" ht="30" customHeight="1" spans="1:9">
      <c r="A1" s="18" t="s">
        <v>245</v>
      </c>
      <c r="B1" s="18" t="s">
        <v>246</v>
      </c>
      <c r="C1" s="18" t="s">
        <v>247</v>
      </c>
      <c r="D1" s="18" t="s">
        <v>248</v>
      </c>
      <c r="E1" s="18" t="s">
        <v>249</v>
      </c>
      <c r="F1" s="18" t="s">
        <v>250</v>
      </c>
      <c r="G1" s="18" t="s">
        <v>251</v>
      </c>
      <c r="H1" s="18" t="s">
        <v>252</v>
      </c>
      <c r="I1" s="18" t="s">
        <v>253</v>
      </c>
    </row>
    <row r="2" ht="25" customHeight="1" spans="1:9">
      <c r="A2" t="s">
        <v>254</v>
      </c>
      <c r="B2" t="s">
        <v>255</v>
      </c>
      <c r="D2" s="21"/>
      <c r="E2" s="21"/>
    </row>
    <row r="3" ht="25" customHeight="1" spans="1:9">
      <c r="A3" t="s">
        <v>256</v>
      </c>
      <c r="B3" t="s">
        <v>255</v>
      </c>
      <c r="D3" s="21"/>
      <c r="E3" s="21"/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25"/>
  <cols>
    <col min="1" max="1" width="10" customWidth="1"/>
    <col min="2" max="2" width="28" customWidth="1"/>
    <col min="3" max="3" width="16" customWidth="1"/>
    <col min="4" max="5" width="20" customWidth="1"/>
    <col min="6" max="6" width="17" customWidth="1"/>
    <col min="7" max="7" width="19" customWidth="1"/>
    <col min="8" max="8" width="20" customWidth="1"/>
    <col min="9" max="9" width="17" customWidth="1"/>
    <col min="10" max="10" width="52" customWidth="1"/>
  </cols>
  <sheetData>
    <row r="1" ht="30" customHeight="1" spans="1:10">
      <c r="A1" s="18" t="s">
        <v>158</v>
      </c>
      <c r="B1" s="18" t="s">
        <v>257</v>
      </c>
      <c r="C1" s="18" t="s">
        <v>160</v>
      </c>
      <c r="D1" s="18" t="s">
        <v>258</v>
      </c>
      <c r="E1" s="18" t="s">
        <v>259</v>
      </c>
      <c r="F1" s="18" t="s">
        <v>260</v>
      </c>
      <c r="G1" s="18" t="s">
        <v>261</v>
      </c>
      <c r="H1" s="18" t="s">
        <v>262</v>
      </c>
      <c r="I1" s="18" t="s">
        <v>163</v>
      </c>
      <c r="J1" s="18" t="s">
        <v>263</v>
      </c>
    </row>
    <row r="2" ht="25" customHeight="1" spans="1:10">
      <c r="A2" t="s">
        <v>165</v>
      </c>
      <c r="B2" t="s">
        <v>166</v>
      </c>
      <c r="C2" t="s">
        <v>167</v>
      </c>
      <c r="F2" t="str">
        <f t="shared" ref="F2:F17" si="0">IF(OR(NOT(ISNUMBER(D2)),NOT(ISNUMBER(E2))),"",E2-D2)</f>
        <v/>
      </c>
      <c r="G2" s="20" t="str">
        <f t="shared" ref="G2:G17" si="1">IF(OR(NOT(ISNUMBER(D2)),NOT(ISNUMBER(E2)),D2=0),"",(E2-D2)/D2)</f>
        <v/>
      </c>
      <c r="I2" t="s">
        <v>264</v>
      </c>
      <c r="J2" t="s">
        <v>171</v>
      </c>
    </row>
    <row r="3" ht="25" customHeight="1" spans="1:10">
      <c r="A3" t="s">
        <v>172</v>
      </c>
      <c r="B3" t="s">
        <v>173</v>
      </c>
      <c r="C3" t="s">
        <v>174</v>
      </c>
      <c r="F3" t="str">
        <f t="shared" si="0"/>
        <v/>
      </c>
      <c r="G3" s="20" t="str">
        <f t="shared" si="1"/>
        <v/>
      </c>
      <c r="I3" t="s">
        <v>264</v>
      </c>
      <c r="J3" t="s">
        <v>177</v>
      </c>
    </row>
    <row r="4" ht="25" customHeight="1" spans="1:10">
      <c r="A4" t="s">
        <v>178</v>
      </c>
      <c r="B4" t="s">
        <v>179</v>
      </c>
      <c r="C4" t="s">
        <v>174</v>
      </c>
      <c r="F4" t="str">
        <f t="shared" si="0"/>
        <v/>
      </c>
      <c r="G4" s="20" t="str">
        <f t="shared" si="1"/>
        <v/>
      </c>
      <c r="I4" t="s">
        <v>264</v>
      </c>
      <c r="J4" t="s">
        <v>182</v>
      </c>
    </row>
    <row r="5" ht="25" customHeight="1" spans="1:10">
      <c r="A5" t="s">
        <v>183</v>
      </c>
      <c r="B5" t="s">
        <v>184</v>
      </c>
      <c r="C5" t="s">
        <v>185</v>
      </c>
      <c r="F5" t="str">
        <f t="shared" si="0"/>
        <v/>
      </c>
      <c r="G5" s="20" t="str">
        <f t="shared" si="1"/>
        <v/>
      </c>
      <c r="I5" t="s">
        <v>264</v>
      </c>
      <c r="J5" t="s">
        <v>188</v>
      </c>
    </row>
    <row r="6" ht="25" customHeight="1" spans="1:10">
      <c r="A6" t="s">
        <v>189</v>
      </c>
      <c r="B6" t="s">
        <v>190</v>
      </c>
      <c r="C6" t="s">
        <v>191</v>
      </c>
      <c r="F6" t="str">
        <f t="shared" si="0"/>
        <v/>
      </c>
      <c r="G6" s="20" t="str">
        <f t="shared" si="1"/>
        <v/>
      </c>
      <c r="I6" t="s">
        <v>264</v>
      </c>
      <c r="J6" t="s">
        <v>193</v>
      </c>
    </row>
    <row r="7" ht="25" customHeight="1" spans="1:10">
      <c r="A7" t="s">
        <v>194</v>
      </c>
      <c r="B7" t="s">
        <v>195</v>
      </c>
      <c r="C7" t="s">
        <v>196</v>
      </c>
      <c r="F7" t="str">
        <f t="shared" si="0"/>
        <v/>
      </c>
      <c r="G7" s="20" t="str">
        <f t="shared" si="1"/>
        <v/>
      </c>
      <c r="I7" t="s">
        <v>264</v>
      </c>
      <c r="J7" t="s">
        <v>198</v>
      </c>
    </row>
    <row r="8" ht="25" customHeight="1" spans="1:10">
      <c r="A8" t="s">
        <v>199</v>
      </c>
      <c r="B8" t="s">
        <v>200</v>
      </c>
      <c r="C8" t="s">
        <v>196</v>
      </c>
      <c r="F8" t="str">
        <f t="shared" si="0"/>
        <v/>
      </c>
      <c r="G8" s="20" t="str">
        <f t="shared" si="1"/>
        <v/>
      </c>
      <c r="I8" t="s">
        <v>264</v>
      </c>
      <c r="J8" t="s">
        <v>203</v>
      </c>
    </row>
    <row r="9" ht="25" customHeight="1" spans="1:10">
      <c r="A9" t="s">
        <v>204</v>
      </c>
      <c r="B9" t="s">
        <v>205</v>
      </c>
      <c r="C9" t="s">
        <v>196</v>
      </c>
      <c r="F9" t="str">
        <f t="shared" si="0"/>
        <v/>
      </c>
      <c r="G9" s="20" t="str">
        <f t="shared" si="1"/>
        <v/>
      </c>
      <c r="I9" t="s">
        <v>264</v>
      </c>
      <c r="J9" t="s">
        <v>207</v>
      </c>
    </row>
    <row r="10" ht="25" customHeight="1" spans="1:10">
      <c r="A10" t="s">
        <v>208</v>
      </c>
      <c r="B10" t="s">
        <v>209</v>
      </c>
      <c r="C10" t="s">
        <v>167</v>
      </c>
      <c r="F10" t="str">
        <f t="shared" si="0"/>
        <v/>
      </c>
      <c r="G10" s="20" t="str">
        <f t="shared" si="1"/>
        <v/>
      </c>
      <c r="I10" t="s">
        <v>264</v>
      </c>
      <c r="J10" t="s">
        <v>211</v>
      </c>
    </row>
    <row r="11" ht="25" customHeight="1" spans="1:10">
      <c r="A11" t="s">
        <v>212</v>
      </c>
      <c r="B11" t="s">
        <v>213</v>
      </c>
      <c r="C11" t="s">
        <v>174</v>
      </c>
      <c r="F11" t="str">
        <f t="shared" si="0"/>
        <v/>
      </c>
      <c r="G11" s="20" t="str">
        <f t="shared" si="1"/>
        <v/>
      </c>
      <c r="I11" t="s">
        <v>264</v>
      </c>
      <c r="J11" t="s">
        <v>215</v>
      </c>
    </row>
    <row r="12" ht="25" customHeight="1" spans="1:10">
      <c r="A12" t="s">
        <v>216</v>
      </c>
      <c r="B12" t="s">
        <v>217</v>
      </c>
      <c r="C12" t="s">
        <v>174</v>
      </c>
      <c r="F12" t="str">
        <f t="shared" si="0"/>
        <v/>
      </c>
      <c r="G12" s="20" t="str">
        <f t="shared" si="1"/>
        <v/>
      </c>
      <c r="I12" t="s">
        <v>264</v>
      </c>
      <c r="J12" t="s">
        <v>220</v>
      </c>
    </row>
    <row r="13" ht="25" customHeight="1" spans="1:10">
      <c r="A13" t="s">
        <v>221</v>
      </c>
      <c r="B13" t="s">
        <v>222</v>
      </c>
      <c r="C13" t="s">
        <v>174</v>
      </c>
      <c r="F13" t="str">
        <f t="shared" si="0"/>
        <v/>
      </c>
      <c r="G13" s="20" t="str">
        <f t="shared" si="1"/>
        <v/>
      </c>
      <c r="I13" t="s">
        <v>264</v>
      </c>
      <c r="J13" t="s">
        <v>224</v>
      </c>
    </row>
    <row r="14" ht="25" customHeight="1" spans="1:10">
      <c r="A14" t="s">
        <v>225</v>
      </c>
      <c r="B14" t="s">
        <v>226</v>
      </c>
      <c r="C14" t="s">
        <v>174</v>
      </c>
      <c r="F14" t="str">
        <f t="shared" si="0"/>
        <v/>
      </c>
      <c r="G14" s="20" t="str">
        <f t="shared" si="1"/>
        <v/>
      </c>
      <c r="I14" t="s">
        <v>264</v>
      </c>
      <c r="J14" t="s">
        <v>228</v>
      </c>
    </row>
    <row r="15" ht="25" customHeight="1" spans="1:10">
      <c r="A15" t="s">
        <v>229</v>
      </c>
      <c r="B15" t="s">
        <v>230</v>
      </c>
      <c r="C15" t="s">
        <v>231</v>
      </c>
      <c r="F15" t="str">
        <f t="shared" si="0"/>
        <v/>
      </c>
      <c r="G15" s="20" t="str">
        <f t="shared" si="1"/>
        <v/>
      </c>
      <c r="I15" t="s">
        <v>264</v>
      </c>
      <c r="J15" t="s">
        <v>234</v>
      </c>
    </row>
    <row r="16" ht="25" customHeight="1" spans="1:10">
      <c r="A16" t="s">
        <v>235</v>
      </c>
      <c r="B16" t="s">
        <v>236</v>
      </c>
      <c r="C16" t="s">
        <v>237</v>
      </c>
      <c r="F16" t="str">
        <f t="shared" si="0"/>
        <v/>
      </c>
      <c r="G16" s="20" t="str">
        <f t="shared" si="1"/>
        <v/>
      </c>
      <c r="I16" t="s">
        <v>264</v>
      </c>
      <c r="J16" t="s">
        <v>240</v>
      </c>
    </row>
    <row r="17" ht="25" customHeight="1" spans="1:10">
      <c r="A17" t="s">
        <v>241</v>
      </c>
      <c r="B17" t="s">
        <v>242</v>
      </c>
      <c r="C17" t="s">
        <v>167</v>
      </c>
      <c r="F17" t="str">
        <f t="shared" si="0"/>
        <v/>
      </c>
      <c r="G17" s="20" t="str">
        <f t="shared" si="1"/>
        <v/>
      </c>
      <c r="I17" t="s">
        <v>264</v>
      </c>
      <c r="J17" t="s">
        <v>244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25" outlineLevelRow="1"/>
  <cols>
    <col min="1" max="1" width="13" customWidth="1"/>
    <col min="2" max="2" width="39" customWidth="1"/>
    <col min="3" max="3" width="29" customWidth="1"/>
    <col min="4" max="4" width="18" customWidth="1"/>
    <col min="5" max="5" width="16" customWidth="1"/>
    <col min="6" max="6" width="42" customWidth="1"/>
    <col min="7" max="7" width="24" customWidth="1"/>
    <col min="8" max="9" width="18" customWidth="1"/>
    <col min="10" max="10" width="20" customWidth="1"/>
    <col min="11" max="12" width="18" customWidth="1"/>
    <col min="13" max="13" width="16" customWidth="1"/>
    <col min="14" max="15" width="18" customWidth="1"/>
  </cols>
  <sheetData>
    <row r="1" ht="30" customHeight="1" spans="1:15">
      <c r="A1" s="18" t="s">
        <v>245</v>
      </c>
      <c r="B1" s="18" t="s">
        <v>265</v>
      </c>
      <c r="C1" s="18" t="s">
        <v>266</v>
      </c>
      <c r="D1" s="18" t="s">
        <v>267</v>
      </c>
      <c r="E1" s="18" t="s">
        <v>268</v>
      </c>
      <c r="F1" s="18" t="s">
        <v>269</v>
      </c>
      <c r="G1" s="18" t="s">
        <v>248</v>
      </c>
      <c r="H1" s="18" t="s">
        <v>270</v>
      </c>
      <c r="I1" s="18" t="s">
        <v>271</v>
      </c>
      <c r="J1" s="18" t="s">
        <v>272</v>
      </c>
      <c r="K1" s="18" t="s">
        <v>273</v>
      </c>
      <c r="L1" s="18" t="s">
        <v>274</v>
      </c>
      <c r="M1" s="18" t="s">
        <v>275</v>
      </c>
      <c r="N1" s="18" t="s">
        <v>276</v>
      </c>
      <c r="O1" s="18" t="s">
        <v>277</v>
      </c>
    </row>
    <row r="2" ht="25" customHeight="1"/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25" outlineLevelRow="1"/>
  <cols>
    <col min="1" max="1" width="14" customWidth="1"/>
    <col min="2" max="2" width="39" customWidth="1"/>
    <col min="3" max="3" width="28" customWidth="1"/>
    <col min="4" max="4" width="16" customWidth="1"/>
    <col min="5" max="5" width="24" customWidth="1"/>
    <col min="6" max="7" width="40" customWidth="1"/>
    <col min="8" max="9" width="24" customWidth="1"/>
    <col min="10" max="10" width="20" customWidth="1"/>
    <col min="11" max="11" width="18" customWidth="1"/>
    <col min="12" max="12" width="36" customWidth="1"/>
    <col min="13" max="13" width="18" customWidth="1"/>
  </cols>
  <sheetData>
    <row r="1" ht="30" customHeight="1" spans="1:13">
      <c r="A1" s="18" t="s">
        <v>245</v>
      </c>
      <c r="B1" s="18" t="s">
        <v>265</v>
      </c>
      <c r="C1" s="18" t="s">
        <v>266</v>
      </c>
      <c r="D1" s="18" t="s">
        <v>22</v>
      </c>
      <c r="E1" s="18" t="s">
        <v>278</v>
      </c>
      <c r="F1" s="18" t="s">
        <v>279</v>
      </c>
      <c r="G1" s="18" t="s">
        <v>269</v>
      </c>
      <c r="H1" s="18" t="s">
        <v>248</v>
      </c>
      <c r="I1" s="18" t="s">
        <v>249</v>
      </c>
      <c r="J1" s="18" t="s">
        <v>280</v>
      </c>
      <c r="K1" s="18" t="s">
        <v>276</v>
      </c>
      <c r="L1" s="18" t="s">
        <v>281</v>
      </c>
      <c r="M1" s="18" t="s">
        <v>282</v>
      </c>
    </row>
    <row r="2" ht="25" customHeight="1"/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25" outlineLevelCol="1"/>
  <cols>
    <col min="1" max="1" width="20" customWidth="1"/>
    <col min="2" max="2" width="105" customWidth="1"/>
  </cols>
  <sheetData>
    <row r="1" ht="30" customHeight="1" spans="1:2">
      <c r="A1" s="18" t="s">
        <v>283</v>
      </c>
      <c r="B1" s="18" t="s">
        <v>284</v>
      </c>
    </row>
    <row r="2" ht="25" customHeight="1" spans="1:2">
      <c r="A2" t="s">
        <v>285</v>
      </c>
      <c r="B2" s="19" t="s">
        <v>286</v>
      </c>
    </row>
    <row r="3" ht="25" customHeight="1" spans="1:2">
      <c r="A3" t="s">
        <v>287</v>
      </c>
      <c r="B3" s="19" t="s">
        <v>288</v>
      </c>
    </row>
    <row r="4" ht="25" customHeight="1" spans="1:2">
      <c r="A4" t="s">
        <v>289</v>
      </c>
      <c r="B4" s="19" t="s">
        <v>290</v>
      </c>
    </row>
    <row r="5" ht="25" customHeight="1" spans="1:2">
      <c r="A5" t="s">
        <v>291</v>
      </c>
      <c r="B5" s="19" t="s">
        <v>292</v>
      </c>
    </row>
    <row r="6" ht="25" customHeight="1" spans="1:2">
      <c r="A6" t="s">
        <v>293</v>
      </c>
      <c r="B6" s="19" t="s">
        <v>294</v>
      </c>
    </row>
    <row r="7" ht="25" customHeight="1" spans="1:2">
      <c r="A7" t="s">
        <v>295</v>
      </c>
      <c r="B7" s="19" t="s">
        <v>296</v>
      </c>
    </row>
    <row r="8" ht="25" customHeight="1" spans="1:2">
      <c r="A8" t="s">
        <v>297</v>
      </c>
      <c r="B8" s="19" t="s">
        <v>298</v>
      </c>
    </row>
    <row r="9" ht="25" customHeight="1" spans="1:2">
      <c r="A9" t="s">
        <v>299</v>
      </c>
      <c r="B9" s="19" t="s">
        <v>300</v>
      </c>
    </row>
    <row r="10" ht="25" customHeight="1" spans="1:2">
      <c r="A10" t="s">
        <v>301</v>
      </c>
      <c r="B10" s="19" t="s">
        <v>302</v>
      </c>
    </row>
    <row r="11" ht="25" customHeight="1" spans="1:2">
      <c r="A11" t="s">
        <v>303</v>
      </c>
      <c r="B11" s="19" t="s">
        <v>304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E207"/>
  <sheetViews>
    <sheetView tabSelected="1" topLeftCell="A180" workbookViewId="0">
      <selection activeCell="B196" sqref="B196"/>
    </sheetView>
  </sheetViews>
  <sheetFormatPr defaultColWidth="8" defaultRowHeight="14.25" outlineLevelCol="4"/>
  <cols>
    <col min="1" max="1" width="8" style="1"/>
    <col min="2" max="2" width="186.625" style="1" customWidth="1"/>
    <col min="3" max="16384" width="8" style="1"/>
  </cols>
  <sheetData>
    <row r="4" spans="2:2">
      <c r="B4" s="2" t="s">
        <v>305</v>
      </c>
    </row>
    <row r="5" spans="2:2">
      <c r="B5" s="3" t="s">
        <v>306</v>
      </c>
    </row>
    <row r="6" spans="2:2">
      <c r="B6" s="3" t="s">
        <v>307</v>
      </c>
    </row>
    <row r="7" spans="2:2">
      <c r="B7" s="3" t="s">
        <v>308</v>
      </c>
    </row>
    <row r="8" spans="2:2">
      <c r="B8" s="3" t="s">
        <v>309</v>
      </c>
    </row>
    <row r="9" spans="2:2">
      <c r="B9" s="3" t="s">
        <v>310</v>
      </c>
    </row>
    <row r="10" spans="2:2">
      <c r="B10" s="3" t="s">
        <v>311</v>
      </c>
    </row>
    <row r="11" spans="2:2">
      <c r="B11" s="3" t="s">
        <v>312</v>
      </c>
    </row>
    <row r="12" spans="2:2">
      <c r="B12" s="4" t="s">
        <v>313</v>
      </c>
    </row>
    <row r="13" ht="25.5" spans="2:2">
      <c r="B13" s="3" t="s">
        <v>314</v>
      </c>
    </row>
    <row r="14" spans="2:2">
      <c r="B14" s="3" t="s">
        <v>315</v>
      </c>
    </row>
    <row r="15" spans="2:2">
      <c r="B15" s="3" t="s">
        <v>316</v>
      </c>
    </row>
    <row r="16" spans="2:2">
      <c r="B16" s="4" t="s">
        <v>317</v>
      </c>
    </row>
    <row r="17" spans="2:2">
      <c r="B17" s="3" t="s">
        <v>318</v>
      </c>
    </row>
    <row r="18" spans="2:2">
      <c r="B18" s="3" t="s">
        <v>319</v>
      </c>
    </row>
    <row r="19" ht="25.5" spans="2:2">
      <c r="B19" s="4" t="s">
        <v>320</v>
      </c>
    </row>
    <row r="20" ht="25.5" spans="2:2">
      <c r="B20" s="4" t="s">
        <v>321</v>
      </c>
    </row>
    <row r="21" ht="25.5" spans="2:2">
      <c r="B21" s="4" t="s">
        <v>322</v>
      </c>
    </row>
    <row r="22" spans="2:2">
      <c r="B22" s="3" t="s">
        <v>323</v>
      </c>
    </row>
    <row r="23" spans="2:2">
      <c r="B23" s="3" t="s">
        <v>324</v>
      </c>
    </row>
    <row r="24" spans="2:2">
      <c r="B24" s="3" t="s">
        <v>325</v>
      </c>
    </row>
    <row r="25" spans="2:2">
      <c r="B25" s="3" t="s">
        <v>326</v>
      </c>
    </row>
    <row r="26" spans="2:2">
      <c r="B26" s="3" t="s">
        <v>327</v>
      </c>
    </row>
    <row r="27" spans="2:2">
      <c r="B27" s="3" t="s">
        <v>328</v>
      </c>
    </row>
    <row r="28" ht="25.5" spans="2:2">
      <c r="B28" s="4" t="s">
        <v>329</v>
      </c>
    </row>
    <row r="29" spans="2:2">
      <c r="B29" s="4" t="s">
        <v>330</v>
      </c>
    </row>
    <row r="30" ht="25.5" spans="2:2">
      <c r="B30" s="3" t="s">
        <v>331</v>
      </c>
    </row>
    <row r="31" spans="2:2">
      <c r="B31" s="3" t="s">
        <v>332</v>
      </c>
    </row>
    <row r="32" ht="25.5" spans="2:2">
      <c r="B32" s="4" t="s">
        <v>333</v>
      </c>
    </row>
    <row r="33" ht="25.5" spans="2:2">
      <c r="B33" s="4" t="s">
        <v>334</v>
      </c>
    </row>
    <row r="34" spans="2:2">
      <c r="B34" s="3" t="s">
        <v>335</v>
      </c>
    </row>
    <row r="35" spans="2:2">
      <c r="B35" s="3" t="s">
        <v>336</v>
      </c>
    </row>
    <row r="36" ht="25.5" spans="2:2">
      <c r="B36" s="4" t="s">
        <v>337</v>
      </c>
    </row>
    <row r="37" spans="2:2">
      <c r="B37" s="4" t="s">
        <v>338</v>
      </c>
    </row>
    <row r="38" spans="2:2">
      <c r="B38" s="3" t="s">
        <v>339</v>
      </c>
    </row>
    <row r="39" spans="2:2">
      <c r="B39" s="3" t="s">
        <v>340</v>
      </c>
    </row>
    <row r="40" spans="2:2">
      <c r="B40" s="3" t="s">
        <v>341</v>
      </c>
    </row>
    <row r="41" spans="2:2">
      <c r="B41" s="3" t="s">
        <v>342</v>
      </c>
    </row>
    <row r="42" spans="2:2">
      <c r="B42" s="3" t="s">
        <v>343</v>
      </c>
    </row>
    <row r="43" spans="2:2">
      <c r="B43" s="3" t="s">
        <v>344</v>
      </c>
    </row>
    <row r="44" spans="2:2">
      <c r="B44" s="3" t="s">
        <v>345</v>
      </c>
    </row>
    <row r="45" spans="2:2">
      <c r="B45" s="4" t="s">
        <v>346</v>
      </c>
    </row>
    <row r="46" spans="2:2">
      <c r="B46" s="3" t="s">
        <v>347</v>
      </c>
    </row>
    <row r="47" spans="2:2">
      <c r="B47" s="3" t="s">
        <v>348</v>
      </c>
    </row>
    <row r="48" ht="25.5" spans="2:2">
      <c r="B48" s="4" t="s">
        <v>349</v>
      </c>
    </row>
    <row r="49" ht="25.5" spans="2:2">
      <c r="B49" s="4" t="s">
        <v>350</v>
      </c>
    </row>
    <row r="50" spans="2:2">
      <c r="B50" s="3" t="s">
        <v>351</v>
      </c>
    </row>
    <row r="51" spans="2:2">
      <c r="B51" s="3" t="s">
        <v>352</v>
      </c>
    </row>
    <row r="52" spans="2:2">
      <c r="B52" s="3" t="s">
        <v>353</v>
      </c>
    </row>
    <row r="53" spans="2:2">
      <c r="B53" s="3" t="s">
        <v>354</v>
      </c>
    </row>
    <row r="54" spans="2:2">
      <c r="B54" s="3" t="s">
        <v>355</v>
      </c>
    </row>
    <row r="55" spans="2:2">
      <c r="B55" s="3" t="s">
        <v>356</v>
      </c>
    </row>
    <row r="56" spans="2:2">
      <c r="B56" s="3" t="s">
        <v>357</v>
      </c>
    </row>
    <row r="57" spans="2:2">
      <c r="B57" s="3" t="s">
        <v>358</v>
      </c>
    </row>
    <row r="58" spans="2:2">
      <c r="B58" s="3" t="s">
        <v>359</v>
      </c>
    </row>
    <row r="59" spans="2:2">
      <c r="B59" s="3" t="s">
        <v>360</v>
      </c>
    </row>
    <row r="60" spans="2:2">
      <c r="B60" s="3" t="s">
        <v>361</v>
      </c>
    </row>
    <row r="61" spans="2:2">
      <c r="B61" s="3" t="s">
        <v>362</v>
      </c>
    </row>
    <row r="62" spans="2:2">
      <c r="B62" s="3" t="s">
        <v>363</v>
      </c>
    </row>
    <row r="63" spans="2:2">
      <c r="B63" s="3" t="s">
        <v>364</v>
      </c>
    </row>
    <row r="64" spans="2:2">
      <c r="B64" s="3" t="s">
        <v>365</v>
      </c>
    </row>
    <row r="65" spans="2:2">
      <c r="B65" s="4" t="s">
        <v>366</v>
      </c>
    </row>
    <row r="66" spans="2:2">
      <c r="B66" s="3" t="s">
        <v>367</v>
      </c>
    </row>
    <row r="67" spans="2:2">
      <c r="B67" s="3" t="s">
        <v>368</v>
      </c>
    </row>
    <row r="68" spans="2:2">
      <c r="B68" s="3" t="s">
        <v>369</v>
      </c>
    </row>
    <row r="69" spans="2:2">
      <c r="B69" s="3" t="s">
        <v>370</v>
      </c>
    </row>
    <row r="70" spans="2:2">
      <c r="B70" s="3" t="s">
        <v>371</v>
      </c>
    </row>
    <row r="71" spans="2:2">
      <c r="B71" s="3" t="s">
        <v>372</v>
      </c>
    </row>
    <row r="72" spans="2:2">
      <c r="B72" s="3" t="s">
        <v>373</v>
      </c>
    </row>
    <row r="73" spans="2:2">
      <c r="B73" s="3" t="s">
        <v>374</v>
      </c>
    </row>
    <row r="74" spans="2:2">
      <c r="B74" s="3" t="s">
        <v>375</v>
      </c>
    </row>
    <row r="75" spans="2:2">
      <c r="B75" s="3" t="s">
        <v>376</v>
      </c>
    </row>
    <row r="76" spans="2:2">
      <c r="B76" s="3" t="s">
        <v>377</v>
      </c>
    </row>
    <row r="77" spans="2:2">
      <c r="B77" s="3" t="s">
        <v>378</v>
      </c>
    </row>
    <row r="78" spans="2:2">
      <c r="B78" s="3" t="s">
        <v>379</v>
      </c>
    </row>
    <row r="79" spans="2:2">
      <c r="B79" s="3" t="s">
        <v>380</v>
      </c>
    </row>
    <row r="80" spans="2:2">
      <c r="B80" s="3" t="s">
        <v>381</v>
      </c>
    </row>
    <row r="81" spans="2:2">
      <c r="B81" s="3" t="s">
        <v>382</v>
      </c>
    </row>
    <row r="82" spans="2:2">
      <c r="B82" s="3" t="s">
        <v>383</v>
      </c>
    </row>
    <row r="83" spans="2:2">
      <c r="B83" s="3" t="s">
        <v>384</v>
      </c>
    </row>
    <row r="84" spans="2:2">
      <c r="B84" s="4" t="s">
        <v>385</v>
      </c>
    </row>
    <row r="85" spans="2:2">
      <c r="B85" s="3" t="s">
        <v>386</v>
      </c>
    </row>
    <row r="86" spans="2:2">
      <c r="B86" s="3" t="s">
        <v>387</v>
      </c>
    </row>
    <row r="87" spans="2:2">
      <c r="B87" s="3" t="s">
        <v>388</v>
      </c>
    </row>
    <row r="88" spans="2:2">
      <c r="B88" s="3" t="s">
        <v>389</v>
      </c>
    </row>
    <row r="89" spans="2:2">
      <c r="B89" s="3" t="s">
        <v>390</v>
      </c>
    </row>
    <row r="90" spans="2:2">
      <c r="B90" s="3" t="s">
        <v>391</v>
      </c>
    </row>
    <row r="91" spans="2:2">
      <c r="B91" s="3" t="s">
        <v>392</v>
      </c>
    </row>
    <row r="92" spans="2:2">
      <c r="B92" s="3" t="s">
        <v>393</v>
      </c>
    </row>
    <row r="93" spans="2:2">
      <c r="B93" s="3" t="s">
        <v>394</v>
      </c>
    </row>
    <row r="94" spans="2:2">
      <c r="B94" s="3" t="s">
        <v>395</v>
      </c>
    </row>
    <row r="95" spans="2:2">
      <c r="B95" s="3" t="s">
        <v>396</v>
      </c>
    </row>
    <row r="96" spans="2:2">
      <c r="B96" s="3" t="s">
        <v>397</v>
      </c>
    </row>
    <row r="97" spans="1:5">
      <c r="B97" s="3" t="s">
        <v>398</v>
      </c>
    </row>
    <row r="98" spans="1:5">
      <c r="B98" s="3" t="s">
        <v>399</v>
      </c>
    </row>
    <row r="99" spans="1:5">
      <c r="B99" s="3" t="s">
        <v>400</v>
      </c>
    </row>
    <row r="100" spans="1:5">
      <c r="B100" s="3" t="s">
        <v>401</v>
      </c>
    </row>
    <row r="101" spans="1:5">
      <c r="B101" s="3" t="s">
        <v>402</v>
      </c>
    </row>
    <row r="102" spans="1:5">
      <c r="B102" s="3" t="s">
        <v>403</v>
      </c>
    </row>
    <row r="103" spans="1:5">
      <c r="B103" s="3" t="s">
        <v>404</v>
      </c>
    </row>
    <row r="104" spans="1:5">
      <c r="B104" s="3" t="s">
        <v>405</v>
      </c>
    </row>
    <row r="105" spans="1:5">
      <c r="B105" s="3" t="s">
        <v>406</v>
      </c>
    </row>
    <row r="106" spans="1:5">
      <c r="B106" s="3" t="s">
        <v>407</v>
      </c>
    </row>
    <row r="107" ht="25.5" spans="1:5">
      <c r="B107" s="4" t="s">
        <v>408</v>
      </c>
    </row>
    <row r="108" spans="1:5">
      <c r="B108" s="4" t="s">
        <v>409</v>
      </c>
    </row>
    <row r="110" spans="1:5">
      <c r="A110" s="5" t="s">
        <v>410</v>
      </c>
    </row>
    <row r="111" ht="15" spans="1:5">
      <c r="B111" s="6" t="s">
        <v>411</v>
      </c>
      <c r="C111"/>
      <c r="D111"/>
      <c r="E111"/>
    </row>
    <row r="112" ht="15" spans="1:5">
      <c r="B112" s="6"/>
      <c r="C112"/>
      <c r="D112"/>
      <c r="E112"/>
    </row>
    <row r="113" ht="15" spans="2:5">
      <c r="B113" s="6" t="s">
        <v>412</v>
      </c>
      <c r="C113"/>
      <c r="D113"/>
      <c r="E113"/>
    </row>
    <row r="114" ht="15" spans="2:5">
      <c r="B114" s="6"/>
      <c r="C114"/>
      <c r="D114"/>
      <c r="E114"/>
    </row>
    <row r="115" ht="15" spans="2:5">
      <c r="B115" s="6"/>
      <c r="C115"/>
      <c r="D115"/>
      <c r="E115"/>
    </row>
    <row r="116" ht="15" spans="2:5">
      <c r="B116" s="6"/>
      <c r="C116"/>
      <c r="D116"/>
      <c r="E116"/>
    </row>
    <row r="117" ht="18.75" spans="2:5">
      <c r="B117" s="7" t="s">
        <v>413</v>
      </c>
      <c r="C117"/>
      <c r="D117"/>
      <c r="E117"/>
    </row>
    <row r="118" ht="15" spans="2:5">
      <c r="B118" s="6"/>
      <c r="C118"/>
      <c r="D118"/>
      <c r="E118"/>
    </row>
    <row r="119" ht="15.75" spans="2:5">
      <c r="B119" s="8" t="s">
        <v>414</v>
      </c>
      <c r="C119"/>
      <c r="D119"/>
      <c r="E119"/>
    </row>
    <row r="120" ht="15" spans="2:5">
      <c r="B120" s="6"/>
      <c r="C120"/>
      <c r="D120"/>
      <c r="E120"/>
    </row>
    <row r="121" ht="15" spans="2:5">
      <c r="B121" s="9" t="s">
        <v>415</v>
      </c>
      <c r="C121"/>
      <c r="D121"/>
      <c r="E121"/>
    </row>
    <row r="122" ht="15" spans="2:5">
      <c r="B122" s="6"/>
      <c r="C122"/>
      <c r="D122"/>
      <c r="E122"/>
    </row>
    <row r="123" ht="15.75" spans="2:5">
      <c r="B123" s="8" t="s">
        <v>416</v>
      </c>
      <c r="C123"/>
      <c r="D123"/>
      <c r="E123"/>
    </row>
    <row r="124" ht="15" spans="2:5">
      <c r="B124" s="6"/>
      <c r="C124"/>
      <c r="D124"/>
      <c r="E124"/>
    </row>
    <row r="125" ht="15" spans="2:5">
      <c r="B125" s="10" t="s">
        <v>417</v>
      </c>
      <c r="C125"/>
      <c r="D125"/>
      <c r="E125"/>
    </row>
    <row r="126" ht="15" spans="2:5">
      <c r="B126" s="11" t="s">
        <v>418</v>
      </c>
      <c r="C126"/>
      <c r="D126"/>
      <c r="E126"/>
    </row>
    <row r="127" ht="15" spans="2:5">
      <c r="B127" s="11" t="s">
        <v>419</v>
      </c>
      <c r="C127"/>
      <c r="D127"/>
      <c r="E127"/>
    </row>
    <row r="128" ht="15" spans="2:5">
      <c r="B128" s="11" t="s">
        <v>420</v>
      </c>
      <c r="C128"/>
      <c r="D128"/>
      <c r="E128"/>
    </row>
    <row r="129" ht="15" spans="2:5">
      <c r="B129" s="10" t="s">
        <v>421</v>
      </c>
      <c r="C129"/>
      <c r="D129"/>
      <c r="E129"/>
    </row>
    <row r="130" ht="15" spans="2:5">
      <c r="B130" s="11" t="s">
        <v>422</v>
      </c>
      <c r="C130"/>
      <c r="D130"/>
      <c r="E130"/>
    </row>
    <row r="131" ht="15" spans="2:5">
      <c r="B131" s="11" t="s">
        <v>423</v>
      </c>
      <c r="C131"/>
      <c r="D131"/>
      <c r="E131"/>
    </row>
    <row r="132" ht="15" spans="2:5">
      <c r="B132" s="12" t="s">
        <v>424</v>
      </c>
      <c r="C132"/>
      <c r="D132"/>
      <c r="E132"/>
    </row>
    <row r="133" ht="15" spans="2:5">
      <c r="B133" s="6"/>
      <c r="C133"/>
      <c r="D133"/>
      <c r="E133"/>
    </row>
    <row r="134" ht="15" spans="2:5">
      <c r="B134" s="6"/>
      <c r="C134"/>
      <c r="D134"/>
      <c r="E134"/>
    </row>
    <row r="135" ht="15" spans="2:5">
      <c r="B135" s="6"/>
      <c r="C135"/>
      <c r="D135"/>
      <c r="E135"/>
    </row>
    <row r="136" ht="18.75" spans="2:5">
      <c r="B136" s="7" t="s">
        <v>425</v>
      </c>
      <c r="C136"/>
      <c r="D136"/>
      <c r="E136"/>
    </row>
    <row r="137" ht="15" spans="2:5">
      <c r="B137" s="6"/>
      <c r="C137"/>
      <c r="D137"/>
      <c r="E137"/>
    </row>
    <row r="138" ht="15.75" spans="2:5">
      <c r="B138" s="8" t="s">
        <v>414</v>
      </c>
      <c r="C138"/>
      <c r="D138"/>
      <c r="E138"/>
    </row>
    <row r="139" ht="15" spans="2:5">
      <c r="B139" s="6"/>
      <c r="C139"/>
      <c r="D139"/>
      <c r="E139"/>
    </row>
    <row r="140" ht="15" spans="2:5">
      <c r="B140" s="9" t="s">
        <v>426</v>
      </c>
      <c r="C140"/>
      <c r="D140"/>
      <c r="E140"/>
    </row>
    <row r="141" ht="15" spans="2:5">
      <c r="B141" s="6"/>
      <c r="C141"/>
      <c r="D141"/>
      <c r="E141"/>
    </row>
    <row r="142" ht="15.75" spans="2:5">
      <c r="B142" s="8" t="s">
        <v>427</v>
      </c>
      <c r="C142"/>
      <c r="D142"/>
      <c r="E142"/>
    </row>
    <row r="143" ht="15" spans="2:5">
      <c r="B143" s="6"/>
      <c r="C143"/>
      <c r="D143"/>
      <c r="E143"/>
    </row>
    <row r="144" ht="15" spans="2:5">
      <c r="B144" s="10" t="s">
        <v>428</v>
      </c>
      <c r="C144"/>
      <c r="D144"/>
      <c r="E144"/>
    </row>
    <row r="145" ht="15" spans="2:5">
      <c r="B145" s="11" t="s">
        <v>429</v>
      </c>
      <c r="C145"/>
      <c r="D145"/>
      <c r="E145"/>
    </row>
    <row r="146" ht="15" spans="2:5">
      <c r="B146" s="13" t="s">
        <v>430</v>
      </c>
      <c r="C146"/>
      <c r="D146"/>
      <c r="E146"/>
    </row>
    <row r="147" ht="15" spans="2:5">
      <c r="B147" s="13" t="s">
        <v>431</v>
      </c>
      <c r="C147"/>
      <c r="D147"/>
      <c r="E147"/>
    </row>
    <row r="148" ht="15" spans="2:5">
      <c r="B148" s="13" t="s">
        <v>432</v>
      </c>
      <c r="C148"/>
      <c r="D148"/>
      <c r="E148"/>
    </row>
    <row r="149" ht="15" spans="2:5">
      <c r="B149" s="11" t="s">
        <v>433</v>
      </c>
      <c r="C149"/>
      <c r="D149"/>
      <c r="E149"/>
    </row>
    <row r="150" ht="15" spans="2:5">
      <c r="B150" s="10" t="s">
        <v>434</v>
      </c>
      <c r="C150"/>
      <c r="D150"/>
      <c r="E150"/>
    </row>
    <row r="151" ht="15" spans="2:5">
      <c r="B151" s="11" t="s">
        <v>435</v>
      </c>
      <c r="C151"/>
      <c r="D151"/>
      <c r="E151"/>
    </row>
    <row r="152" ht="15" spans="2:5">
      <c r="B152" s="12" t="s">
        <v>436</v>
      </c>
      <c r="C152"/>
      <c r="D152"/>
      <c r="E152"/>
    </row>
    <row r="153" ht="15" spans="2:5">
      <c r="B153" s="6"/>
      <c r="C153"/>
      <c r="D153"/>
      <c r="E153"/>
    </row>
    <row r="154" ht="15" spans="2:5">
      <c r="B154" s="6"/>
      <c r="C154"/>
      <c r="D154"/>
      <c r="E154"/>
    </row>
    <row r="155" ht="15" spans="2:5">
      <c r="B155" s="6"/>
      <c r="C155"/>
      <c r="D155"/>
      <c r="E155"/>
    </row>
    <row r="156" ht="18.75" spans="2:5">
      <c r="B156" s="7" t="s">
        <v>437</v>
      </c>
      <c r="C156"/>
      <c r="D156"/>
      <c r="E156"/>
    </row>
    <row r="157" ht="15" spans="2:5">
      <c r="B157" s="6"/>
      <c r="C157"/>
      <c r="D157"/>
      <c r="E157"/>
    </row>
    <row r="158" ht="15.75" spans="2:5">
      <c r="B158" s="8" t="s">
        <v>414</v>
      </c>
      <c r="C158"/>
      <c r="D158"/>
      <c r="E158"/>
    </row>
    <row r="159" ht="15" spans="2:5">
      <c r="B159" s="6"/>
      <c r="C159"/>
      <c r="D159"/>
      <c r="E159"/>
    </row>
    <row r="160" ht="15" spans="2:5">
      <c r="B160" s="9" t="s">
        <v>438</v>
      </c>
      <c r="C160"/>
      <c r="D160"/>
      <c r="E160"/>
    </row>
    <row r="161" ht="15" spans="2:5">
      <c r="B161" s="6"/>
      <c r="C161"/>
      <c r="D161"/>
      <c r="E161"/>
    </row>
    <row r="162" ht="15.75" spans="2:5">
      <c r="B162" s="8" t="s">
        <v>439</v>
      </c>
      <c r="C162"/>
      <c r="D162"/>
      <c r="E162"/>
    </row>
    <row r="163" ht="15" spans="2:5">
      <c r="B163" s="6"/>
      <c r="C163"/>
      <c r="D163"/>
      <c r="E163"/>
    </row>
    <row r="164" ht="15" spans="2:5">
      <c r="B164" s="6" t="s">
        <v>440</v>
      </c>
      <c r="C164"/>
      <c r="D164"/>
      <c r="E164"/>
    </row>
    <row r="165" ht="15" spans="2:5">
      <c r="B165" s="6"/>
      <c r="C165"/>
      <c r="D165"/>
      <c r="E165"/>
    </row>
    <row r="166" ht="30" spans="2:5">
      <c r="B166" s="14" t="s">
        <v>441</v>
      </c>
      <c r="C166" s="14" t="s">
        <v>442</v>
      </c>
      <c r="D166" s="14" t="s">
        <v>443</v>
      </c>
      <c r="E166" s="14" t="s">
        <v>444</v>
      </c>
    </row>
    <row r="167" ht="75" spans="2:5">
      <c r="B167" s="14" t="s">
        <v>445</v>
      </c>
      <c r="C167" s="15" t="s">
        <v>446</v>
      </c>
      <c r="D167" s="15" t="s">
        <v>447</v>
      </c>
      <c r="E167" s="14" t="s">
        <v>448</v>
      </c>
    </row>
    <row r="168" ht="60" spans="2:5">
      <c r="B168" s="14" t="s">
        <v>449</v>
      </c>
      <c r="C168" s="15" t="s">
        <v>450</v>
      </c>
      <c r="D168" s="15" t="s">
        <v>451</v>
      </c>
      <c r="E168" s="14" t="s">
        <v>452</v>
      </c>
    </row>
    <row r="169" ht="90" spans="2:5">
      <c r="B169" s="14" t="s">
        <v>453</v>
      </c>
      <c r="C169" s="15" t="s">
        <v>454</v>
      </c>
      <c r="D169" s="15" t="s">
        <v>455</v>
      </c>
      <c r="E169" s="14" t="s">
        <v>456</v>
      </c>
    </row>
    <row r="170" ht="90" spans="2:5">
      <c r="B170" s="14" t="s">
        <v>457</v>
      </c>
      <c r="C170" s="15" t="s">
        <v>458</v>
      </c>
      <c r="D170" s="15" t="s">
        <v>459</v>
      </c>
      <c r="E170" s="14" t="s">
        <v>460</v>
      </c>
    </row>
    <row r="171" ht="60" spans="2:5">
      <c r="B171" s="14" t="s">
        <v>461</v>
      </c>
      <c r="C171" s="15" t="s">
        <v>450</v>
      </c>
      <c r="D171" s="15" t="s">
        <v>462</v>
      </c>
      <c r="E171" s="14" t="s">
        <v>463</v>
      </c>
    </row>
    <row r="172" ht="75" spans="2:5">
      <c r="B172" s="14" t="s">
        <v>464</v>
      </c>
      <c r="C172" s="15" t="s">
        <v>458</v>
      </c>
      <c r="D172" s="15" t="s">
        <v>465</v>
      </c>
      <c r="E172" s="14" t="s">
        <v>466</v>
      </c>
    </row>
    <row r="173" ht="60" spans="2:5">
      <c r="B173" s="14" t="s">
        <v>467</v>
      </c>
      <c r="C173" s="15" t="s">
        <v>450</v>
      </c>
      <c r="D173" s="15" t="s">
        <v>468</v>
      </c>
      <c r="E173" s="14" t="s">
        <v>469</v>
      </c>
    </row>
    <row r="174" ht="75" spans="2:5">
      <c r="B174" s="14" t="s">
        <v>470</v>
      </c>
      <c r="C174" s="15" t="s">
        <v>471</v>
      </c>
      <c r="D174" s="15" t="s">
        <v>472</v>
      </c>
      <c r="E174" s="14" t="s">
        <v>473</v>
      </c>
    </row>
    <row r="175" ht="60" spans="2:5">
      <c r="B175" s="14" t="s">
        <v>474</v>
      </c>
      <c r="C175" s="15" t="s">
        <v>450</v>
      </c>
      <c r="D175" s="15" t="s">
        <v>475</v>
      </c>
      <c r="E175" s="14" t="s">
        <v>476</v>
      </c>
    </row>
    <row r="176" ht="75" spans="2:5">
      <c r="B176" s="14" t="s">
        <v>477</v>
      </c>
      <c r="C176" s="15" t="s">
        <v>478</v>
      </c>
      <c r="D176" s="15" t="s">
        <v>479</v>
      </c>
      <c r="E176" s="14" t="s">
        <v>480</v>
      </c>
    </row>
    <row r="177" ht="60" spans="2:5">
      <c r="B177" s="14" t="s">
        <v>481</v>
      </c>
      <c r="C177" s="15" t="s">
        <v>450</v>
      </c>
      <c r="D177" s="15" t="s">
        <v>482</v>
      </c>
      <c r="E177" s="14" t="s">
        <v>483</v>
      </c>
    </row>
    <row r="178" ht="60" spans="2:5">
      <c r="B178" s="14" t="s">
        <v>484</v>
      </c>
      <c r="C178" s="15" t="s">
        <v>485</v>
      </c>
      <c r="D178" s="15" t="s">
        <v>486</v>
      </c>
      <c r="E178" s="14" t="s">
        <v>487</v>
      </c>
    </row>
    <row r="179" ht="73.5" spans="2:5">
      <c r="B179" s="14" t="s">
        <v>488</v>
      </c>
      <c r="C179" s="15" t="s">
        <v>489</v>
      </c>
      <c r="D179" s="15" t="s">
        <v>490</v>
      </c>
      <c r="E179" s="14" t="s">
        <v>491</v>
      </c>
    </row>
    <row r="180" ht="15" spans="2:5">
      <c r="B180" s="6"/>
      <c r="C180"/>
      <c r="D180"/>
      <c r="E180"/>
    </row>
    <row r="181" ht="15.75" spans="2:5">
      <c r="B181" s="8" t="s">
        <v>492</v>
      </c>
      <c r="C181"/>
      <c r="D181"/>
      <c r="E181"/>
    </row>
    <row r="182" ht="15" spans="2:5">
      <c r="B182" s="6"/>
      <c r="C182"/>
      <c r="D182"/>
      <c r="E182"/>
    </row>
    <row r="183" ht="15" spans="2:5">
      <c r="B183" s="16" t="s">
        <v>493</v>
      </c>
      <c r="C183"/>
      <c r="D183"/>
      <c r="E183"/>
    </row>
    <row r="184" ht="15" spans="2:5">
      <c r="B184" s="6"/>
      <c r="C184"/>
      <c r="D184"/>
      <c r="E184"/>
    </row>
    <row r="185" ht="15" spans="2:5">
      <c r="B185" s="17" t="s">
        <v>494</v>
      </c>
      <c r="C185"/>
      <c r="D185"/>
      <c r="E185"/>
    </row>
    <row r="186" ht="15" spans="2:5">
      <c r="B186" s="17" t="s">
        <v>495</v>
      </c>
      <c r="C186"/>
      <c r="D186"/>
      <c r="E186"/>
    </row>
    <row r="187" ht="15" spans="2:5">
      <c r="B187" s="6"/>
      <c r="C187"/>
      <c r="D187"/>
      <c r="E187"/>
    </row>
    <row r="188" ht="15" spans="2:5">
      <c r="B188" s="16" t="s">
        <v>496</v>
      </c>
      <c r="C188"/>
      <c r="D188"/>
      <c r="E188"/>
    </row>
    <row r="189" ht="15" spans="2:5">
      <c r="B189" s="6"/>
      <c r="C189"/>
      <c r="D189"/>
      <c r="E189"/>
    </row>
    <row r="190" ht="15" spans="2:5">
      <c r="B190" s="17" t="s">
        <v>497</v>
      </c>
      <c r="C190"/>
      <c r="D190"/>
      <c r="E190"/>
    </row>
    <row r="191" ht="15" spans="2:5">
      <c r="B191" s="6"/>
      <c r="C191"/>
      <c r="D191"/>
      <c r="E191"/>
    </row>
    <row r="192" ht="15" spans="2:5">
      <c r="B192" s="6"/>
      <c r="C192"/>
      <c r="D192"/>
      <c r="E192"/>
    </row>
    <row r="193" ht="15" spans="2:5">
      <c r="B193" s="6"/>
      <c r="C193"/>
      <c r="D193"/>
      <c r="E193"/>
    </row>
    <row r="194" ht="18.75" spans="2:5">
      <c r="B194" s="7" t="s">
        <v>498</v>
      </c>
      <c r="C194"/>
      <c r="D194"/>
      <c r="E194"/>
    </row>
    <row r="195" ht="15" spans="2:5">
      <c r="B195" s="6"/>
      <c r="C195"/>
      <c r="D195"/>
      <c r="E195"/>
    </row>
    <row r="196" ht="15" spans="2:5">
      <c r="B196" s="16" t="s">
        <v>499</v>
      </c>
      <c r="C196"/>
      <c r="D196"/>
      <c r="E196"/>
    </row>
    <row r="197" ht="15" spans="2:5">
      <c r="B197" s="6"/>
      <c r="C197"/>
      <c r="D197"/>
      <c r="E197"/>
    </row>
    <row r="198" ht="15" spans="2:5">
      <c r="B198" s="17" t="s">
        <v>500</v>
      </c>
      <c r="C198"/>
      <c r="D198"/>
      <c r="E198"/>
    </row>
    <row r="199" ht="15" spans="2:5">
      <c r="B199" s="17" t="s">
        <v>501</v>
      </c>
      <c r="C199"/>
      <c r="D199"/>
      <c r="E199"/>
    </row>
    <row r="200" ht="15" spans="2:5">
      <c r="B200" s="6"/>
      <c r="C200"/>
      <c r="D200"/>
      <c r="E200"/>
    </row>
    <row r="201" ht="15" spans="2:5">
      <c r="B201" s="16" t="s">
        <v>502</v>
      </c>
      <c r="C201"/>
      <c r="D201"/>
      <c r="E201"/>
    </row>
    <row r="202" ht="15" spans="2:5">
      <c r="B202" s="6"/>
      <c r="C202"/>
      <c r="D202"/>
      <c r="E202"/>
    </row>
    <row r="203" ht="15" spans="2:5">
      <c r="B203" s="17" t="s">
        <v>503</v>
      </c>
      <c r="C203"/>
      <c r="D203"/>
      <c r="E203"/>
    </row>
    <row r="204" ht="15" spans="2:5">
      <c r="B204" s="6"/>
      <c r="C204"/>
      <c r="D204"/>
      <c r="E204"/>
    </row>
    <row r="205" ht="15" spans="2:5">
      <c r="B205" s="16" t="s">
        <v>504</v>
      </c>
      <c r="C205"/>
      <c r="D205"/>
      <c r="E205"/>
    </row>
    <row r="206" ht="15" spans="2:5">
      <c r="B206" s="6"/>
      <c r="C206"/>
      <c r="D206"/>
      <c r="E206"/>
    </row>
    <row r="207" ht="15" spans="2:5">
      <c r="B207" s="17" t="s">
        <v>505</v>
      </c>
      <c r="C207"/>
      <c r="D207"/>
      <c r="E20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사용안내</vt:lpstr>
      <vt:lpstr>단계별질문</vt:lpstr>
      <vt:lpstr>단계별정답</vt:lpstr>
      <vt:lpstr>채점입력</vt:lpstr>
      <vt:lpstr>점수집계</vt:lpstr>
      <vt:lpstr>성능지표정의</vt:lpstr>
      <vt:lpstr>평가실행관리</vt:lpstr>
      <vt:lpstr>성능결과비교</vt:lpstr>
      <vt:lpstr>상담Trace원본</vt:lpstr>
      <vt:lpstr>작업실행원본</vt:lpstr>
      <vt:lpstr>통합평가안내</vt:lpstr>
      <vt:lpstr>S5_POC_trace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fureu</cp:lastModifiedBy>
  <dcterms:created xsi:type="dcterms:W3CDTF">2026-10-30T10:15:23Z</dcterms:created>
  <dcterms:modified xsi:type="dcterms:W3CDTF">2026-11-01T04:48:24Z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221B7C9FC0944E9AB6CA9C1ECE95A854_12</vt:lpwstr>
  </property>
  <property fmtid="{D5CDD505-2E9C-101B-9397-08002B2CF9AE}" pid="3" name="KSOProductBuildVer">
    <vt:lpwstr>1042-12.1.0.29162</vt:lpwstr>
  </property>
  <property fmtid="{D5CDD505-2E9C-101B-9397-08002B2CF9AE}" pid="4" name="CalculationRule">
    <vt:i4>0</vt:i4>
  </property>
</Properties>
</file>