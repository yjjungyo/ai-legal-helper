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8800" windowHeight="12225" activeTab="1"/>
  </bookViews>
  <sheets>
    <sheet name="사용안내" sheetId="1" r:id="rId1"/>
    <sheet name="단계별질문" sheetId="2" r:id="rId2"/>
    <sheet name="단계별정답" sheetId="3" r:id="rId3"/>
    <sheet name="채점입력" sheetId="4" r:id="rId4"/>
    <sheet name="점수집계" sheetId="5" r:id="rId5"/>
    <sheet name="성능지표정의" sheetId="6" r:id="rId6"/>
    <sheet name="평가실행관리" sheetId="7" r:id="rId7"/>
    <sheet name="성능결과비교" sheetId="8" r:id="rId8"/>
    <sheet name="상담Trace원본" sheetId="9" r:id="rId9"/>
    <sheet name="작업실행원본" sheetId="10" r:id="rId10"/>
    <sheet name="통합평가안내" sheetId="11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<sst xmlns="http://schemas.openxmlformats.org/spreadsheetml/2006/main" count="757" uniqueCount="305">
  <si>
    <t>SC-001 동적 사건 대응 KPI 평가 패키지</t>
  </si>
  <si>
    <t>v1.0 | 수동 측정</t>
  </si>
  <si>
    <t>목적</t>
  </si>
  <si>
    <t>증거를 시간순으로 누적 등록하고, 같은 사건에서 매 단계 상담 결과를 비교</t>
  </si>
  <si>
    <t>시작</t>
  </si>
  <si>
    <t>평가 전용 사건 1건 생성. 기존 전체 증거 등록 사건은 사용하지 않음</t>
  </si>
  <si>
    <t>실행</t>
  </si>
  <si>
    <t>S1 증거 등록→질문 실행→답변 저장→채점→S2 추가 증거 등록…S8까지 반복</t>
  </si>
  <si>
    <t>정답</t>
  </si>
  <si>
    <t>'단계별정답'의 기대 사실·쟁점·행동·금지사항을 참고하되 원문 증거와 대조</t>
  </si>
  <si>
    <t>채점</t>
  </si>
  <si>
    <t>'채점입력' 시트 G열에서 충족/부분/미충족 선택; F열은 점수 자동 계산</t>
  </si>
  <si>
    <t>점수</t>
  </si>
  <si>
    <t>충족 1점, 부분 0.5점, 미충족 0점. 미평가 행은 완료 판정에서 제외</t>
  </si>
  <si>
    <t>K1</t>
  </si>
  <si>
    <t>사실 정확성+쟁점 식별 16개 판정의 점수/16×100; 목표 90%</t>
  </si>
  <si>
    <t>동적 대응 진단</t>
  </si>
  <si>
    <t>맥락 유지+재판단+미래정보 방지 24개 판정의 점수/24×100 (보조 지표)</t>
  </si>
  <si>
    <t>전체 진단</t>
  </si>
  <si>
    <t>40개 판정의 점수/40×100 (공식 KPI와 혼동 금지)</t>
  </si>
  <si>
    <t>주의</t>
  </si>
  <si>
    <t>Gold v1.2는 FROZEN이나 법률 전문가 검토는 PROVISIONAL; 이 파일은 신규 순차 평가 설계</t>
  </si>
  <si>
    <t>단계</t>
  </si>
  <si>
    <t>기준시점</t>
  </si>
  <si>
    <t>사건 변화</t>
  </si>
  <si>
    <t>새 증거(기존 증거 누적)</t>
  </si>
  <si>
    <t>복사하여 입력할 상담 질문</t>
  </si>
  <si>
    <t>S1</t>
  </si>
  <si>
    <t>2022-03-01</t>
  </si>
  <si>
    <t>계약·입주</t>
  </si>
  <si>
    <t>E01 계약서 / E02 지급 / E03 전입·확정일자</t>
  </si>
  <si>
    <r>
      <t>등록된</t>
    </r>
    <r>
      <rPr>
        <sz val="11"/>
        <rFont val="Carlito"/>
        <charset val="134"/>
      </rPr>
      <t xml:space="preserve"> </t>
    </r>
    <r>
      <rPr>
        <sz val="11"/>
        <rFont val="바탕체"/>
        <charset val="134"/>
      </rPr>
      <t>계약서와</t>
    </r>
    <r>
      <rPr>
        <sz val="11"/>
        <rFont val="Carlito"/>
        <charset val="134"/>
      </rPr>
      <t xml:space="preserve"> </t>
    </r>
    <r>
      <rPr>
        <sz val="11"/>
        <rFont val="바탕체"/>
        <charset val="134"/>
      </rPr>
      <t>입금</t>
    </r>
    <r>
      <rPr>
        <sz val="11"/>
        <rFont val="Carlito"/>
        <charset val="134"/>
      </rPr>
      <t>·</t>
    </r>
    <r>
      <rPr>
        <sz val="11"/>
        <rFont val="바탕체"/>
        <charset val="134"/>
      </rPr>
      <t>전입</t>
    </r>
    <r>
      <rPr>
        <sz val="11"/>
        <rFont val="Carlito"/>
        <charset val="134"/>
      </rPr>
      <t xml:space="preserve"> </t>
    </r>
    <r>
      <rPr>
        <sz val="11"/>
        <rFont val="바탕체"/>
        <charset val="134"/>
      </rPr>
      <t>자료를</t>
    </r>
    <r>
      <rPr>
        <sz val="11"/>
        <rFont val="Carlito"/>
        <charset val="134"/>
      </rPr>
      <t xml:space="preserve"> </t>
    </r>
    <r>
      <rPr>
        <sz val="11"/>
        <rFont val="바탕체"/>
        <charset val="134"/>
      </rPr>
      <t>기준으로</t>
    </r>
    <r>
      <rPr>
        <sz val="11"/>
        <rFont val="Carlito"/>
        <charset val="134"/>
      </rPr>
      <t xml:space="preserve"> </t>
    </r>
    <r>
      <rPr>
        <sz val="11"/>
        <rFont val="바탕체"/>
        <charset val="134"/>
      </rPr>
      <t>현재까지</t>
    </r>
    <r>
      <rPr>
        <sz val="11"/>
        <rFont val="Carlito"/>
        <charset val="134"/>
      </rPr>
      <t xml:space="preserve"> </t>
    </r>
    <r>
      <rPr>
        <sz val="11"/>
        <rFont val="바탕체"/>
        <charset val="134"/>
      </rPr>
      <t>확인되는</t>
    </r>
    <r>
      <rPr>
        <sz val="11"/>
        <rFont val="Carlito"/>
        <charset val="134"/>
      </rPr>
      <t xml:space="preserve"> </t>
    </r>
    <r>
      <rPr>
        <sz val="11"/>
        <rFont val="바탕체"/>
        <charset val="134"/>
      </rPr>
      <t>계약</t>
    </r>
    <r>
      <rPr>
        <sz val="11"/>
        <rFont val="Carlito"/>
        <charset val="134"/>
      </rPr>
      <t xml:space="preserve"> </t>
    </r>
    <r>
      <rPr>
        <sz val="11"/>
        <rFont val="바탕체"/>
        <charset val="134"/>
      </rPr>
      <t>사실</t>
    </r>
    <r>
      <rPr>
        <sz val="11"/>
        <rFont val="Carlito"/>
        <charset val="134"/>
      </rPr>
      <t xml:space="preserve">, </t>
    </r>
    <r>
      <rPr>
        <sz val="11"/>
        <rFont val="바탕체"/>
        <charset val="134"/>
      </rPr>
      <t>당사자</t>
    </r>
    <r>
      <rPr>
        <sz val="11"/>
        <rFont val="Carlito"/>
        <charset val="134"/>
      </rPr>
      <t xml:space="preserve">, </t>
    </r>
    <r>
      <rPr>
        <sz val="11"/>
        <rFont val="바탕체"/>
        <charset val="134"/>
      </rPr>
      <t>보증금</t>
    </r>
    <r>
      <rPr>
        <sz val="11"/>
        <rFont val="Carlito"/>
        <charset val="134"/>
      </rPr>
      <t xml:space="preserve"> </t>
    </r>
    <r>
      <rPr>
        <sz val="11"/>
        <rFont val="바탕체"/>
        <charset val="134"/>
      </rPr>
      <t>지급</t>
    </r>
    <r>
      <rPr>
        <sz val="11"/>
        <rFont val="Carlito"/>
        <charset val="134"/>
      </rPr>
      <t xml:space="preserve"> </t>
    </r>
    <r>
      <rPr>
        <sz val="11"/>
        <rFont val="바탕체"/>
        <charset val="134"/>
      </rPr>
      <t>여부</t>
    </r>
    <r>
      <rPr>
        <sz val="11"/>
        <rFont val="Carlito"/>
        <charset val="134"/>
      </rPr>
      <t xml:space="preserve">, </t>
    </r>
    <r>
      <rPr>
        <sz val="11"/>
        <rFont val="바탕체"/>
        <charset val="134"/>
      </rPr>
      <t>임차인의</t>
    </r>
    <r>
      <rPr>
        <sz val="11"/>
        <rFont val="Carlito"/>
        <charset val="134"/>
      </rPr>
      <t xml:space="preserve"> </t>
    </r>
    <r>
      <rPr>
        <sz val="11"/>
        <rFont val="바탕체"/>
        <charset val="134"/>
      </rPr>
      <t>권리</t>
    </r>
    <r>
      <rPr>
        <sz val="11"/>
        <rFont val="Carlito"/>
        <charset val="134"/>
      </rPr>
      <t xml:space="preserve"> </t>
    </r>
    <r>
      <rPr>
        <sz val="11"/>
        <rFont val="바탕체"/>
        <charset val="134"/>
      </rPr>
      <t>및</t>
    </r>
    <r>
      <rPr>
        <sz val="11"/>
        <rFont val="Carlito"/>
        <charset val="134"/>
      </rPr>
      <t xml:space="preserve"> </t>
    </r>
    <r>
      <rPr>
        <sz val="11"/>
        <rFont val="바탕체"/>
        <charset val="134"/>
      </rPr>
      <t>앞으로</t>
    </r>
    <r>
      <rPr>
        <sz val="11"/>
        <rFont val="Carlito"/>
        <charset val="134"/>
      </rPr>
      <t xml:space="preserve"> </t>
    </r>
    <r>
      <rPr>
        <sz val="11"/>
        <rFont val="바탕체"/>
        <charset val="134"/>
      </rPr>
      <t>확인할</t>
    </r>
    <r>
      <rPr>
        <sz val="11"/>
        <rFont val="Carlito"/>
        <charset val="134"/>
      </rPr>
      <t xml:space="preserve"> </t>
    </r>
    <r>
      <rPr>
        <sz val="11"/>
        <rFont val="바탕체"/>
        <charset val="134"/>
      </rPr>
      <t>사항을</t>
    </r>
    <r>
      <rPr>
        <sz val="11"/>
        <rFont val="Carlito"/>
        <charset val="134"/>
      </rPr>
      <t xml:space="preserve"> </t>
    </r>
    <r>
      <rPr>
        <sz val="11"/>
        <rFont val="바탕체"/>
        <charset val="134"/>
      </rPr>
      <t>분석해</t>
    </r>
    <r>
      <rPr>
        <sz val="11"/>
        <rFont val="Carlito"/>
        <charset val="134"/>
      </rPr>
      <t xml:space="preserve"> </t>
    </r>
    <r>
      <rPr>
        <sz val="11"/>
        <rFont val="바탕체"/>
        <charset val="134"/>
      </rPr>
      <t>주세요</t>
    </r>
    <r>
      <rPr>
        <sz val="11"/>
        <rFont val="Carlito"/>
        <charset val="134"/>
      </rPr>
      <t>.</t>
    </r>
  </si>
  <si>
    <t>S2</t>
  </si>
  <si>
    <t>2024-03-01</t>
  </si>
  <si>
    <t>묵시적 갱신</t>
  </si>
  <si>
    <t>E04 갱신 관련 자료</t>
  </si>
  <si>
    <r>
      <t>최초</t>
    </r>
    <r>
      <rPr>
        <sz val="11"/>
        <rFont val="Carlito"/>
        <charset val="134"/>
      </rPr>
      <t xml:space="preserve"> </t>
    </r>
    <r>
      <rPr>
        <sz val="11"/>
        <rFont val="바탕체"/>
        <charset val="134"/>
      </rPr>
      <t>계약기간이</t>
    </r>
    <r>
      <rPr>
        <sz val="11"/>
        <rFont val="Carlito"/>
        <charset val="134"/>
      </rPr>
      <t xml:space="preserve"> </t>
    </r>
    <r>
      <rPr>
        <sz val="11"/>
        <rFont val="바탕체"/>
        <charset val="134"/>
      </rPr>
      <t>지났지만</t>
    </r>
    <r>
      <rPr>
        <sz val="11"/>
        <rFont val="Carlito"/>
        <charset val="134"/>
      </rPr>
      <t xml:space="preserve"> </t>
    </r>
    <r>
      <rPr>
        <sz val="11"/>
        <rFont val="바탕체"/>
        <charset val="134"/>
      </rPr>
      <t>갱신계약서를</t>
    </r>
    <r>
      <rPr>
        <sz val="11"/>
        <rFont val="Carlito"/>
        <charset val="134"/>
      </rPr>
      <t xml:space="preserve"> </t>
    </r>
    <r>
      <rPr>
        <sz val="11"/>
        <rFont val="바탕체"/>
        <charset val="134"/>
      </rPr>
      <t>새로</t>
    </r>
    <r>
      <rPr>
        <sz val="11"/>
        <rFont val="Carlito"/>
        <charset val="134"/>
      </rPr>
      <t xml:space="preserve"> </t>
    </r>
    <r>
      <rPr>
        <sz val="11"/>
        <rFont val="바탕체"/>
        <charset val="134"/>
      </rPr>
      <t>작성하지</t>
    </r>
    <r>
      <rPr>
        <sz val="11"/>
        <rFont val="Carlito"/>
        <charset val="134"/>
      </rPr>
      <t xml:space="preserve"> </t>
    </r>
    <r>
      <rPr>
        <sz val="11"/>
        <rFont val="바탕체"/>
        <charset val="134"/>
      </rPr>
      <t>않았습니다</t>
    </r>
    <r>
      <rPr>
        <sz val="11"/>
        <rFont val="Carlito"/>
        <charset val="134"/>
      </rPr>
      <t xml:space="preserve">. </t>
    </r>
    <r>
      <rPr>
        <sz val="11"/>
        <rFont val="바탕체"/>
        <charset val="134"/>
      </rPr>
      <t>기존</t>
    </r>
    <r>
      <rPr>
        <sz val="11"/>
        <rFont val="Carlito"/>
        <charset val="134"/>
      </rPr>
      <t xml:space="preserve"> </t>
    </r>
    <r>
      <rPr>
        <sz val="11"/>
        <rFont val="바탕체"/>
        <charset val="134"/>
      </rPr>
      <t>계약은</t>
    </r>
    <r>
      <rPr>
        <sz val="11"/>
        <rFont val="Carlito"/>
        <charset val="134"/>
      </rPr>
      <t xml:space="preserve"> </t>
    </r>
    <r>
      <rPr>
        <sz val="11"/>
        <rFont val="바탕체"/>
        <charset val="134"/>
      </rPr>
      <t>현재</t>
    </r>
    <r>
      <rPr>
        <sz val="11"/>
        <rFont val="Carlito"/>
        <charset val="134"/>
      </rPr>
      <t xml:space="preserve"> </t>
    </r>
    <r>
      <rPr>
        <sz val="11"/>
        <rFont val="바탕체"/>
        <charset val="134"/>
      </rPr>
      <t>어떤</t>
    </r>
    <r>
      <rPr>
        <sz val="11"/>
        <rFont val="Carlito"/>
        <charset val="134"/>
      </rPr>
      <t xml:space="preserve"> </t>
    </r>
    <r>
      <rPr>
        <sz val="11"/>
        <rFont val="바탕체"/>
        <charset val="134"/>
      </rPr>
      <t>상태인가요</t>
    </r>
    <r>
      <rPr>
        <sz val="11"/>
        <rFont val="Carlito"/>
        <charset val="134"/>
      </rPr>
      <t xml:space="preserve">? </t>
    </r>
    <r>
      <rPr>
        <sz val="11"/>
        <rFont val="바탕체"/>
        <charset val="134"/>
      </rPr>
      <t>앞으로</t>
    </r>
    <r>
      <rPr>
        <sz val="11"/>
        <rFont val="Carlito"/>
        <charset val="134"/>
      </rPr>
      <t xml:space="preserve"> </t>
    </r>
    <r>
      <rPr>
        <sz val="11"/>
        <rFont val="바탕체"/>
        <charset val="134"/>
      </rPr>
      <t>계약을</t>
    </r>
    <r>
      <rPr>
        <sz val="11"/>
        <rFont val="Carlito"/>
        <charset val="134"/>
      </rPr>
      <t xml:space="preserve"> </t>
    </r>
    <r>
      <rPr>
        <sz val="11"/>
        <rFont val="바탕체"/>
        <charset val="134"/>
      </rPr>
      <t>종료하려면</t>
    </r>
    <r>
      <rPr>
        <sz val="11"/>
        <rFont val="Carlito"/>
        <charset val="134"/>
      </rPr>
      <t xml:space="preserve"> </t>
    </r>
    <r>
      <rPr>
        <sz val="11"/>
        <rFont val="바탕체"/>
        <charset val="134"/>
      </rPr>
      <t>어떻게</t>
    </r>
    <r>
      <rPr>
        <sz val="11"/>
        <rFont val="Carlito"/>
        <charset val="134"/>
      </rPr>
      <t xml:space="preserve"> </t>
    </r>
    <r>
      <rPr>
        <sz val="11"/>
        <rFont val="바탕체"/>
        <charset val="134"/>
      </rPr>
      <t>해야</t>
    </r>
    <r>
      <rPr>
        <sz val="11"/>
        <rFont val="Carlito"/>
        <charset val="134"/>
      </rPr>
      <t xml:space="preserve"> </t>
    </r>
    <r>
      <rPr>
        <sz val="11"/>
        <rFont val="바탕체"/>
        <charset val="134"/>
      </rPr>
      <t>하나요</t>
    </r>
    <r>
      <rPr>
        <sz val="11"/>
        <rFont val="Carlito"/>
        <charset val="134"/>
      </rPr>
      <t>?</t>
    </r>
  </si>
  <si>
    <t>S3</t>
  </si>
  <si>
    <t>해지·퇴거 통보</t>
  </si>
  <si>
    <t>E05 해지·퇴거 문자</t>
  </si>
  <si>
    <r>
      <t>오늘 2026년04월01일에 임대인에게</t>
    </r>
    <r>
      <rPr>
        <sz val="11"/>
        <rFont val="Carlito"/>
        <charset val="134"/>
      </rPr>
      <t xml:space="preserve"> 2026</t>
    </r>
    <r>
      <rPr>
        <sz val="11"/>
        <rFont val="바탕체"/>
        <charset val="134"/>
      </rPr>
      <t>년</t>
    </r>
    <r>
      <rPr>
        <sz val="11"/>
        <rFont val="Carlito"/>
        <charset val="134"/>
      </rPr>
      <t xml:space="preserve"> 9</t>
    </r>
    <r>
      <rPr>
        <sz val="11"/>
        <rFont val="바탕체"/>
        <charset val="134"/>
      </rPr>
      <t>월</t>
    </r>
    <r>
      <rPr>
        <sz val="11"/>
        <rFont val="Carlito"/>
        <charset val="134"/>
      </rPr>
      <t xml:space="preserve"> 30</t>
    </r>
    <r>
      <rPr>
        <sz val="11"/>
        <rFont val="바탕체"/>
        <charset val="134"/>
      </rPr>
      <t>일에</t>
    </r>
    <r>
      <rPr>
        <sz val="11"/>
        <rFont val="Carlito"/>
        <charset val="134"/>
      </rPr>
      <t xml:space="preserve"> </t>
    </r>
    <r>
      <rPr>
        <sz val="11"/>
        <rFont val="바탕체"/>
        <charset val="134"/>
      </rPr>
      <t>퇴거하고</t>
    </r>
    <r>
      <rPr>
        <sz val="11"/>
        <rFont val="Carlito"/>
        <charset val="134"/>
      </rPr>
      <t xml:space="preserve"> </t>
    </r>
    <r>
      <rPr>
        <sz val="11"/>
        <rFont val="바탕체"/>
        <charset val="134"/>
      </rPr>
      <t>보증금</t>
    </r>
    <r>
      <rPr>
        <sz val="11"/>
        <rFont val="Carlito"/>
        <charset val="134"/>
      </rPr>
      <t xml:space="preserve"> 3</t>
    </r>
    <r>
      <rPr>
        <sz val="11"/>
        <rFont val="바탕체"/>
        <charset val="134"/>
      </rPr>
      <t>억</t>
    </r>
    <r>
      <rPr>
        <sz val="11"/>
        <rFont val="Carlito"/>
        <charset val="134"/>
      </rPr>
      <t xml:space="preserve"> </t>
    </r>
    <r>
      <rPr>
        <sz val="11"/>
        <rFont val="바탕체"/>
        <charset val="134"/>
      </rPr>
      <t>원을</t>
    </r>
    <r>
      <rPr>
        <sz val="11"/>
        <rFont val="Carlito"/>
        <charset val="134"/>
      </rPr>
      <t xml:space="preserve"> </t>
    </r>
    <r>
      <rPr>
        <sz val="11"/>
        <rFont val="바탕체"/>
        <charset val="134"/>
      </rPr>
      <t>반환받겠다는</t>
    </r>
    <r>
      <rPr>
        <sz val="11"/>
        <rFont val="Carlito"/>
        <charset val="134"/>
      </rPr>
      <t xml:space="preserve"> </t>
    </r>
    <r>
      <rPr>
        <sz val="11"/>
        <rFont val="바탕체"/>
        <charset val="134"/>
      </rPr>
      <t>문자를</t>
    </r>
    <r>
      <rPr>
        <sz val="11"/>
        <rFont val="Carlito"/>
        <charset val="134"/>
      </rPr>
      <t xml:space="preserve"> </t>
    </r>
    <r>
      <rPr>
        <sz val="11"/>
        <rFont val="바탕체"/>
        <charset val="134"/>
      </rPr>
      <t>보냈습니다</t>
    </r>
    <r>
      <rPr>
        <sz val="11"/>
        <rFont val="Carlito"/>
        <charset val="134"/>
      </rPr>
      <t xml:space="preserve">. </t>
    </r>
    <r>
      <rPr>
        <sz val="11"/>
        <rFont val="바탕체"/>
        <charset val="134"/>
      </rPr>
      <t>이</t>
    </r>
    <r>
      <rPr>
        <sz val="11"/>
        <rFont val="Carlito"/>
        <charset val="134"/>
      </rPr>
      <t xml:space="preserve"> </t>
    </r>
    <r>
      <rPr>
        <sz val="11"/>
        <rFont val="바탕체"/>
        <charset val="134"/>
      </rPr>
      <t>통보로</t>
    </r>
    <r>
      <rPr>
        <sz val="11"/>
        <rFont val="Carlito"/>
        <charset val="134"/>
      </rPr>
      <t xml:space="preserve"> </t>
    </r>
    <r>
      <rPr>
        <sz val="11"/>
        <rFont val="바탕체"/>
        <charset val="134"/>
      </rPr>
      <t>계약이</t>
    </r>
    <r>
      <rPr>
        <sz val="11"/>
        <rFont val="Carlito"/>
        <charset val="134"/>
      </rPr>
      <t xml:space="preserve"> </t>
    </r>
    <r>
      <rPr>
        <sz val="11"/>
        <rFont val="바탕체"/>
        <charset val="134"/>
      </rPr>
      <t>종료되나요</t>
    </r>
    <r>
      <rPr>
        <sz val="11"/>
        <rFont val="Carlito"/>
        <charset val="134"/>
      </rPr>
      <t xml:space="preserve">? </t>
    </r>
    <r>
      <rPr>
        <sz val="11"/>
        <rFont val="바탕체"/>
        <charset val="134"/>
      </rPr>
      <t>언제부터</t>
    </r>
    <r>
      <rPr>
        <sz val="11"/>
        <rFont val="Carlito"/>
        <charset val="134"/>
      </rPr>
      <t xml:space="preserve"> </t>
    </r>
    <r>
      <rPr>
        <sz val="11"/>
        <rFont val="바탕체"/>
        <charset val="134"/>
      </rPr>
      <t>효력이</t>
    </r>
    <r>
      <rPr>
        <sz val="11"/>
        <rFont val="Carlito"/>
        <charset val="134"/>
      </rPr>
      <t xml:space="preserve"> </t>
    </r>
    <r>
      <rPr>
        <sz val="11"/>
        <rFont val="바탕체"/>
        <charset val="134"/>
      </rPr>
      <t>발생하고</t>
    </r>
    <r>
      <rPr>
        <sz val="11"/>
        <rFont val="Carlito"/>
        <charset val="134"/>
      </rPr>
      <t xml:space="preserve"> </t>
    </r>
    <r>
      <rPr>
        <sz val="11"/>
        <rFont val="바탕체"/>
        <charset val="134"/>
      </rPr>
      <t>어떤</t>
    </r>
    <r>
      <rPr>
        <sz val="11"/>
        <rFont val="Carlito"/>
        <charset val="134"/>
      </rPr>
      <t xml:space="preserve"> </t>
    </r>
    <r>
      <rPr>
        <sz val="11"/>
        <rFont val="바탕체"/>
        <charset val="134"/>
      </rPr>
      <t>증거를</t>
    </r>
    <r>
      <rPr>
        <sz val="11"/>
        <rFont val="Carlito"/>
        <charset val="134"/>
      </rPr>
      <t xml:space="preserve"> </t>
    </r>
    <r>
      <rPr>
        <sz val="11"/>
        <rFont val="바탕체"/>
        <charset val="134"/>
      </rPr>
      <t>보관해야</t>
    </r>
    <r>
      <rPr>
        <sz val="11"/>
        <rFont val="Carlito"/>
        <charset val="134"/>
      </rPr>
      <t xml:space="preserve"> </t>
    </r>
    <r>
      <rPr>
        <sz val="11"/>
        <rFont val="바탕체"/>
        <charset val="134"/>
      </rPr>
      <t>하나요</t>
    </r>
    <r>
      <rPr>
        <sz val="11"/>
        <rFont val="Carlito"/>
        <charset val="134"/>
      </rPr>
      <t>?</t>
    </r>
  </si>
  <si>
    <t>S4</t>
  </si>
  <si>
    <t>2026-05-20</t>
  </si>
  <si>
    <t>분할반환 제안</t>
  </si>
  <si>
    <t>E06 제안 자료 / E07 통화 자료(해당 시)</t>
  </si>
  <si>
    <t>집주인이 새 세입자 보증금으로 일부를 먼저 주고 나머지는 1년 후에 지급하겠다고 합니다. 기존 대응에서 무엇을 바꿔야 하나요?</t>
  </si>
  <si>
    <t>S5</t>
  </si>
  <si>
    <t>2026-08-12</t>
  </si>
  <si>
    <t>은행 가압류</t>
  </si>
  <si>
    <t>E09 은행 가압류 / E11 등기부(해당 시)</t>
  </si>
  <si>
    <t>등기부에서 2026년 8월 12일 은행 가압류 7,200만 원을 발견했습니다. 제 보증금 반환에 어떤 변화가 생겼나요? 기존 권리분석과 대응을 다시 평가해 주세요.</t>
  </si>
  <si>
    <t>S6</t>
  </si>
  <si>
    <t>2026-09-18</t>
  </si>
  <si>
    <t>HUG 가압류 추가</t>
  </si>
  <si>
    <t>E10 HUG 가압류 / 최신 E11 등기부</t>
  </si>
  <si>
    <t>HUG의 구상금 가압류 1억 2천만 원도 확인했습니다. 현재 권리관계가 어떻게 달라졌나요? 대응을 우선순위대로 알려주세요.</t>
  </si>
  <si>
    <t>S7</t>
  </si>
  <si>
    <t>2026-10-01</t>
  </si>
  <si>
    <t>반환기한 경과</t>
  </si>
  <si>
    <t>E15 미반환 관련 자료</t>
  </si>
  <si>
    <t>9월 30일이 지났지만 보증금 3억 원을 반환하지 않았습니다. 계약 종료·반환 청구·임차권등기명령·소송 등 다음 조치를 우선순위대로 알려주세요.</t>
  </si>
  <si>
    <t>S8</t>
  </si>
  <si>
    <t>2026-10-15</t>
  </si>
  <si>
    <t>점유 유지·이사 검토</t>
  </si>
  <si>
    <t>E16 점유·주민등록 자료</t>
  </si>
  <si>
    <t>10월 15일 현재 보증금은 받지 못했고 점유와 주민등록을 유지합니다. 이사해야 한다면 어떤 순서로 진행해야 하나요? 사건 변화도 요약해 주세요.</t>
  </si>
  <si>
    <t>시점</t>
  </si>
  <si>
    <t>정답: 확인 사실</t>
  </si>
  <si>
    <t>정답: 핵심 쟁점</t>
  </si>
  <si>
    <t>정답: 적절한 대응</t>
  </si>
  <si>
    <t>오답·금지 판단</t>
  </si>
  <si>
    <t>2022-02-20 계약 / 3억원(계약금 3천만원·잔금 2억7천만원) / 2022-03-01~2024-02-29 / 2022-03-01 입주·전입·확정일자</t>
  </si>
  <si>
    <t>대항요건·확정일자 / 최초 계약 종료일</t>
  </si>
  <si>
    <t>증거 보관, 추가 등기 권리 확인</t>
  </si>
  <si>
    <t>미래의 갱신·해지·가압류·미반환 사실 언급 금지</t>
  </si>
  <si>
    <t>2024-02-29 만료 / 별도 갱신거절 통지 없음 / 종전 조건 유지</t>
  </si>
  <si>
    <t>묵시적 갱신 성립 / 임차인 해지 통고와 3개월 규정</t>
  </si>
  <si>
    <t>해지 의사와 도달 증거 확보</t>
  </si>
  <si>
    <t>2026년 통보가 이미 이루어졌다고 판단 금지</t>
  </si>
  <si>
    <t>2026-04-01</t>
  </si>
  <si>
    <t>2026-04-01 통보 / 2026-09-30 퇴거·반환 요청 / 도달 증거 확인</t>
  </si>
  <si>
    <t>해지 의사표시·도달 / 3개월 규정과 지정일 관계</t>
  </si>
  <si>
    <t>문자 원본·답장 보관 / 도달 불명확 시 보완</t>
  </si>
  <si>
    <t>발송 즉시 종료 또는 도달 무조건 확정 금지</t>
  </si>
  <si>
    <t>새 세입자 보증금 의존 / 부족분 1년 후 제안</t>
  </si>
  <si>
    <t>분할합의 위험 / 반환기한 변경 효과</t>
  </si>
  <si>
    <t>무담보 유예 주의 / 금액·기한·담보 검토</t>
  </si>
  <si>
    <t>제안만으로 반환 확정 또는 무조건 수용 금지</t>
  </si>
  <si>
    <t>은행 가압류 7,200만원 / 등기일 2026-08-12 / 기존 전입·확정일자</t>
  </si>
  <si>
    <t>임차인 권리와 가압류 선후 / 회수 위험</t>
  </si>
  <si>
    <t>최신 등기부 전체 확인 / 점유·전입 보전</t>
  </si>
  <si>
    <t>가압류만으로 전액 손실·권리열위 단정 금지</t>
  </si>
  <si>
    <t>은행 7,200만원 / HUG 1억2천만원 / 등기 시점</t>
  </si>
  <si>
    <t>복수 가압류 권리 비교 / 회수 위험·불확실성</t>
  </si>
  <si>
    <t>최신 등기·반환 촉구 / 권리보전 준비</t>
  </si>
  <si>
    <t>HUG 자동 선순위 또는 회수액 보장 금지</t>
  </si>
  <si>
    <t>2026-09-30 기한 경과 / 3억원 미반환 / 기존 가압류 유지</t>
  </si>
  <si>
    <t>계약 종료·반환채무 / 임차권등기 요건 / 회수절차</t>
  </si>
  <si>
    <t>점유·전입 유지 / 등기명령·반환청구 검토</t>
  </si>
  <si>
    <t>등기 완료 전 퇴거·전입 이전 권고 금지</t>
  </si>
  <si>
    <t>2026-10-15 점유·전입 유지 / 보증금 미반환</t>
  </si>
  <si>
    <t>대항력 유지 / 신청과 등기 완료 구별</t>
  </si>
  <si>
    <t>임차권등기 실제 완료 확인 후 이사 / 권리변동 모니터링</t>
  </si>
  <si>
    <t>신청만으로 즉시 이사 가능 또는 전액 회수 보장 금지</t>
  </si>
  <si>
    <t>분류</t>
  </si>
  <si>
    <t>평가 항목</t>
  </si>
  <si>
    <t>판정 기준</t>
  </si>
  <si>
    <t>점수(자동)</t>
  </si>
  <si>
    <t>판정(입력)</t>
  </si>
  <si>
    <t>근거·오류 메모</t>
  </si>
  <si>
    <t>상담 답변 파일/링크</t>
  </si>
  <si>
    <t>핵심 사실 정확성</t>
  </si>
  <si>
    <t>그 시점에 등록된 증거의 날짜·금액·당사자·상태를 정확히 반영</t>
  </si>
  <si>
    <t>미평가</t>
  </si>
  <si>
    <t/>
  </si>
  <si>
    <t>핵심 쟁점 식별</t>
  </si>
  <si>
    <t>해당 시점 필수 쟁점을 누락 없이 도출</t>
  </si>
  <si>
    <t>진단</t>
  </si>
  <si>
    <t>이전 맥락 유지</t>
  </si>
  <si>
    <t>이전 단계 확인 사실을 왜곡·삭제하지 않음</t>
  </si>
  <si>
    <t>상황 변화에 따른 재판단</t>
  </si>
  <si>
    <t>새 증거로 유지·수정·철회할 판단을 구분</t>
  </si>
  <si>
    <t>미래 사실·허위 사실 방지</t>
  </si>
  <si>
    <t>미등록 미래 사실 또는 무근거 사실을 확정하지 않음</t>
  </si>
  <si>
    <t>SC-001 단계별 KPI 측정 결과</t>
  </si>
  <si>
    <t>평가 수</t>
  </si>
  <si>
    <t>점수 합계</t>
  </si>
  <si>
    <t>정확도 / 판정</t>
  </si>
  <si>
    <t>K1 사건 사실·쟁점 분석 (목표 90%)</t>
  </si>
  <si>
    <t>동적 사건 대응 진단 (보조)</t>
  </si>
  <si>
    <t>전체 40항목 진단 (보조)</t>
  </si>
  <si>
    <t>완료된 평가 항목</t>
  </si>
  <si>
    <t>채점 완료</t>
  </si>
  <si>
    <t>총점 / 5</t>
  </si>
  <si>
    <t>단계별 점수</t>
  </si>
  <si>
    <t>S1 계약·입주</t>
  </si>
  <si>
    <t>S2 묵시적 갱신</t>
  </si>
  <si>
    <t>S3 해지·퇴거 통보</t>
  </si>
  <si>
    <t>S4 분할반환 제안</t>
  </si>
  <si>
    <t>S5 은행 가압류</t>
  </si>
  <si>
    <t>S6 HUG 가압류 추가</t>
  </si>
  <si>
    <t>S7 반환기한 경과</t>
  </si>
  <si>
    <t>S8 점유 유지·이사 검토</t>
  </si>
  <si>
    <t>KPI</t>
  </si>
  <si>
    <t>공식 목표</t>
  </si>
  <si>
    <t>K1 사실·쟁점 분석 정확도</t>
  </si>
  <si>
    <t>90%</t>
  </si>
  <si>
    <t>K2 법령·판례 근거 정확도</t>
  </si>
  <si>
    <t>95% (별도 측정)</t>
  </si>
  <si>
    <t>K3 해결절차 안내 완성도</t>
  </si>
  <si>
    <t>90% (별도 측정)</t>
  </si>
  <si>
    <t>K4 필수 대응절차 식별률</t>
  </si>
  <si>
    <t>K5 탐색·사건정리 시간 단축률</t>
  </si>
  <si>
    <t>70% (마지막 측정)</t>
  </si>
  <si>
    <t>판정 유의</t>
  </si>
  <si>
    <t>K1은 이 파일의 16개 사실·쟁점 판정만 측정합니다.</t>
  </si>
  <si>
    <t>K2~K5는 미측정</t>
  </si>
  <si>
    <t>심각한 허위 판단은 별도 오류 기록</t>
  </si>
  <si>
    <t>코드</t>
  </si>
  <si>
    <t>성능 지표</t>
  </si>
  <si>
    <t>단위</t>
  </si>
  <si>
    <t>측정 기준</t>
  </si>
  <si>
    <t>집계 방식</t>
  </si>
  <si>
    <t>수집 상태</t>
  </si>
  <si>
    <t>주의사항</t>
  </si>
  <si>
    <t>P01</t>
  </si>
  <si>
    <t>상담 질의 수</t>
  </si>
  <si>
    <t>건</t>
  </si>
  <si>
    <t>동일 평가 구간의 LegalConsultation 고유 Trace 개수</t>
  </si>
  <si>
    <t>총계</t>
  </si>
  <si>
    <t>자동</t>
  </si>
  <si>
    <t>비교시 질문 수 차이 표시</t>
  </si>
  <si>
    <t>P02</t>
  </si>
  <si>
    <t>상담 평균 응답시간</t>
  </si>
  <si>
    <t>초</t>
  </si>
  <si>
    <t>상담 정상 완료 Trace 응답시간 평균</t>
  </si>
  <si>
    <t>평균</t>
  </si>
  <si>
    <t>동일 질문군 별도 비교 권장</t>
  </si>
  <si>
    <t>P03</t>
  </si>
  <si>
    <t>상담 P95 응답시간</t>
  </si>
  <si>
    <t>상담 응답시간 95백분위</t>
  </si>
  <si>
    <t>P95</t>
  </si>
  <si>
    <t>표본 수 반드시 병기</t>
  </si>
  <si>
    <t>P04</t>
  </si>
  <si>
    <t>상담 총 토큰</t>
  </si>
  <si>
    <t>token</t>
  </si>
  <si>
    <t>평가 구간 상담 Generation prompt+completion 합계, 중복 제거</t>
  </si>
  <si>
    <t>합계</t>
  </si>
  <si>
    <t>사용량 누락은 미측정</t>
  </si>
  <si>
    <t>P05</t>
  </si>
  <si>
    <t>상담 평균 토큰</t>
  </si>
  <si>
    <t>token/질의</t>
  </si>
  <si>
    <t>상담 총 토큰 / 계측된 상담 수</t>
  </si>
  <si>
    <t>누락률 병기</t>
  </si>
  <si>
    <t>P06</t>
  </si>
  <si>
    <t>LLM 호출 횟수</t>
  </si>
  <si>
    <t>회</t>
  </si>
  <si>
    <t>고유 Generation 중 실제 LLM 호출 건수</t>
  </si>
  <si>
    <t>재시도 포함, 중복 제거</t>
  </si>
  <si>
    <t>P07</t>
  </si>
  <si>
    <t>RAG 검색 횟수</t>
  </si>
  <si>
    <t>법령 Vector/Graph/외부 검색 Span의 고유 실행 수</t>
  </si>
  <si>
    <t>조건부</t>
  </si>
  <si>
    <t>기존 계측 확인 필요</t>
  </si>
  <si>
    <t>P08</t>
  </si>
  <si>
    <t>오류·재시도 횟수</t>
  </si>
  <si>
    <t>오류 및 재실행 이벤트 합계</t>
  </si>
  <si>
    <t>계측 불가시 미측정</t>
  </si>
  <si>
    <t>P09</t>
  </si>
  <si>
    <t>증거 등록 건수</t>
  </si>
  <si>
    <t>평가 구간 등록 완료 증거 ID 개수</t>
  </si>
  <si>
    <t>사건번호+구간</t>
  </si>
  <si>
    <t>P10</t>
  </si>
  <si>
    <t>증거 등록 처리시간</t>
  </si>
  <si>
    <t>업로드 요청 Trace 소요시간 합계</t>
  </si>
  <si>
    <t>백그라운드 추출 미포함</t>
  </si>
  <si>
    <t>P11</t>
  </si>
  <si>
    <t>텍스트·사실 추출시간</t>
  </si>
  <si>
    <t>추출 완료 작업 소요시간 합계</t>
  </si>
  <si>
    <t>보완 필요</t>
  </si>
  <si>
    <t>백그라운드 Trace 연결 필요</t>
  </si>
  <si>
    <t>P12</t>
  </si>
  <si>
    <t>GraphDB 동기화시간</t>
  </si>
  <si>
    <t>동기화 완료 작업 처리시간 합계</t>
  </si>
  <si>
    <t>Worker 계측 필요</t>
  </si>
  <si>
    <t>P13</t>
  </si>
  <si>
    <t>작업 처리시간 합계</t>
  </si>
  <si>
    <t>계측 가능한 개별 작업 소요시간 합계</t>
  </si>
  <si>
    <t>병렬 실행으로 실제 경과시간과 다름</t>
  </si>
  <si>
    <t>P14</t>
  </si>
  <si>
    <t>전체 평가 경과시간</t>
  </si>
  <si>
    <t>분</t>
  </si>
  <si>
    <t>평가 종료시각 - 시작시각</t>
  </si>
  <si>
    <t>차이</t>
  </si>
  <si>
    <t>사용자 대기 포함, 성능 개선률에서 제외</t>
  </si>
  <si>
    <t>P15</t>
  </si>
  <si>
    <t>처리 완료율</t>
  </si>
  <si>
    <t>%</t>
  </si>
  <si>
    <t>완료 작업 수 / 실행된 작업 수 ×100</t>
  </si>
  <si>
    <t>비율</t>
  </si>
  <si>
    <t>답변 정확도와 구분</t>
  </si>
  <si>
    <t>P16</t>
  </si>
  <si>
    <t>계측 누락 건수</t>
  </si>
  <si>
    <t>예상 작업과 연결 Trace/상태가 없는 작업 수</t>
  </si>
  <si>
    <t>누락을 0으로 처리 금지</t>
  </si>
  <si>
    <t>평가구분</t>
  </si>
  <si>
    <t>시나리오</t>
  </si>
  <si>
    <t>사건 ID(case_id)</t>
  </si>
  <si>
    <t>시작시각</t>
  </si>
  <si>
    <t>종료시각</t>
  </si>
  <si>
    <t>평가 세션 ID</t>
  </si>
  <si>
    <t>Git SHA</t>
  </si>
  <si>
    <t>모델</t>
  </si>
  <si>
    <t>환경·특이사항</t>
  </si>
  <si>
    <t>PoC</t>
  </si>
  <si>
    <t>SC-001</t>
  </si>
  <si>
    <t>E2E</t>
  </si>
  <si>
    <t>지표</t>
  </si>
  <si>
    <t>PoC 측정값</t>
  </si>
  <si>
    <t>E2E 측정값</t>
  </si>
  <si>
    <t>변화량</t>
  </si>
  <si>
    <t>변화율(%)</t>
  </si>
  <si>
    <t>비교 가능 여부</t>
  </si>
  <si>
    <t>비고</t>
  </si>
  <si>
    <t>미측정</t>
  </si>
  <si>
    <t>case_id</t>
  </si>
  <si>
    <t>평가세션ID</t>
  </si>
  <si>
    <t>단계(S1~S8)</t>
  </si>
  <si>
    <t>질의 순번</t>
  </si>
  <si>
    <t>Trace ID</t>
  </si>
  <si>
    <t>응답시간(초)</t>
  </si>
  <si>
    <t>Prompt token</t>
  </si>
  <si>
    <t>Completion token</t>
  </si>
  <si>
    <t>LLM 호출수</t>
  </si>
  <si>
    <t>검색횟수</t>
  </si>
  <si>
    <t>재시도</t>
  </si>
  <si>
    <t>완료여부</t>
  </si>
  <si>
    <t>수집상태</t>
  </si>
  <si>
    <t>작업유형</t>
  </si>
  <si>
    <t>evidence_id / task_id</t>
  </si>
  <si>
    <t>처리시간(초)</t>
  </si>
  <si>
    <t>오류</t>
  </si>
  <si>
    <t>계측상태</t>
  </si>
  <si>
    <t>구분</t>
  </si>
  <si>
    <t>설명</t>
  </si>
  <si>
    <t>평가 단위</t>
  </si>
  <si>
    <t>SC-001 S1~S8 전체 시나리오를 PoC 1회, E2E 1회 실행</t>
  </si>
  <si>
    <t>기존 품질평가</t>
  </si>
  <si>
    <t>원본의 단계별질문·단계별정답·채점입력·점수집계 시트를 그대로 유지</t>
  </si>
  <si>
    <t>품질 평가</t>
  </si>
  <si>
    <t>기존 Gold Set 판정 기준을 사용하며 법률 정확도와 처리 완료율을 혼동하지 않음</t>
  </si>
  <si>
    <t>성능 평가</t>
  </si>
  <si>
    <t>성능지표정의 → 평가실행관리 → 상담Trace원본/작업실행원본 → 성능결과비교</t>
  </si>
  <si>
    <t>수집 방식</t>
  </si>
  <si>
    <t>현재는 입력·집계 양식. Langfuse/PostgreSQL 자동 수집기 구현 후 원본 시트 자동 채움</t>
  </si>
  <si>
    <t>평가 시작/종료</t>
  </si>
  <si>
    <t>사건 ID와 시작·종료시각, 평가 세션 ID로 실행 범위 고정</t>
  </si>
  <si>
    <t>백그라운드</t>
  </si>
  <si>
    <t>추출·Graph 동기화는 종료 전에 완료 확인, Trace 누락 시 미측정</t>
  </si>
  <si>
    <t>공정 비교</t>
  </si>
  <si>
    <t>총 비용은 시나리오 단위, 응답시간·토큰은 질의 단위. 질문 수 차이 병기</t>
  </si>
  <si>
    <t>결과 해석</t>
  </si>
  <si>
    <t>품질 점수와 성능 지표를 분리 표기하며 임의 합산 점수 금지</t>
  </si>
  <si>
    <t>현재 상태</t>
  </si>
  <si>
    <t>실제 측정값은 아직 없으므로 비워둠. 예시 수치 입력하지 않음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</si>
</sst>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7">
    <numFmt numFmtId="41" formatCode="_-* #,##0_-;\-* #,##0_-;_-* &quot;-&quot;_-;_-@_-"/>
    <numFmt numFmtId="42" formatCode="_-&quot;₩&quot;* #,##0_-;\-&quot;₩&quot;* #,##0_-;_-&quot;₩&quot;* &quot;-&quot;_-;_-@_-"/>
    <numFmt numFmtId="43" formatCode="_-* #,##0.00_-;\-* #,##0.00_-;_-* &quot;-&quot;??_-;_-@_-"/>
    <numFmt numFmtId="44" formatCode="_-&quot;₩&quot;* #,##0.00_-;\-&quot;₩&quot;* #,##0.00_-;_-&quot;₩&quot;* &quot;-&quot;??_-;_-@_-"/>
    <numFmt numFmtId="176" formatCode="0.0%"/>
    <numFmt numFmtId="177" formatCode="yyyy/mm/dd\ hh:mm:ss"/>
    <numFmt numFmtId="178" formatCode="[$-1010412]yyyy/mm/dd"/>
  </numFmts>
  <fonts count="24">
    <font>
      <sz val="11"/>
      <name val="Carlito"/>
      <charset val="134"/>
    </font>
    <font>
      <b/>
      <sz val="11"/>
      <color rgb="FFFFFFFF"/>
      <name val="Carlito"/>
      <charset val="134"/>
    </font>
    <font>
      <sz val="11"/>
      <name val="바탕체"/>
      <charset val="134"/>
    </font>
    <font>
      <b/>
      <sz val="11"/>
      <name val="Carlito"/>
      <charset val="134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17324D"/>
        <bgColor indexed="64"/>
      </patternFill>
    </fill>
    <fill>
      <patternFill patternType="solid">
        <fgColor rgb="FFFFF1C7"/>
        <bgColor indexed="64"/>
      </patternFill>
    </fill>
    <fill>
      <patternFill patternType="solid">
        <fgColor rgb="FFEAF4F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4" fillId="0" borderId="0">
      <alignment vertical="center"/>
    </xf>
    <xf numFmtId="43" fontId="4" fillId="0" borderId="0" applyFont="0" applyFill="0" applyBorder="0" applyAlignment="0" applyProtection="0">
      <alignment vertical="center"/>
    </xf>
    <xf numFmtId="44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41" fontId="4" fillId="0" borderId="0" applyFont="0" applyFill="0" applyBorder="0" applyAlignment="0" applyProtection="0">
      <alignment vertical="center"/>
    </xf>
    <xf numFmtId="42" fontId="4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4" fillId="5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6" borderId="4" applyNumberFormat="0" applyAlignment="0" applyProtection="0">
      <alignment vertical="center"/>
    </xf>
    <xf numFmtId="0" fontId="14" fillId="7" borderId="5" applyNumberFormat="0" applyAlignment="0" applyProtection="0">
      <alignment vertical="center"/>
    </xf>
    <xf numFmtId="0" fontId="15" fillId="7" borderId="4" applyNumberFormat="0" applyAlignment="0" applyProtection="0">
      <alignment vertical="center"/>
    </xf>
    <xf numFmtId="0" fontId="16" fillId="8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  <xf numFmtId="0" fontId="22" fillId="35" borderId="0" applyNumberFormat="0" applyBorder="0" applyAlignment="0" applyProtection="0">
      <alignment vertical="center"/>
    </xf>
    <xf numFmtId="0" fontId="0" fillId="0" borderId="0"/>
  </cellStyleXfs>
  <cellXfs count="9">
    <xf numFmtId="0" fontId="0" fillId="0" borderId="0" xfId="49"/>
    <xf numFmtId="0" fontId="1" fillId="2" borderId="0" xfId="49" applyNumberFormat="1" applyFont="1" applyFill="1" applyBorder="1" applyAlignment="1">
      <alignment wrapText="1"/>
    </xf>
    <xf numFmtId="0" fontId="0" fillId="0" borderId="0" xfId="49" applyNumberFormat="1" applyFont="1" applyFill="1" applyBorder="1" applyAlignment="1">
      <alignment wrapText="1"/>
    </xf>
    <xf numFmtId="176" fontId="0" fillId="0" borderId="0" xfId="49" applyNumberFormat="1" applyFont="1" applyFill="1" applyBorder="1"/>
    <xf numFmtId="177" fontId="0" fillId="0" borderId="0" xfId="49" applyNumberFormat="1" applyFont="1" applyFill="1" applyBorder="1"/>
    <xf numFmtId="0" fontId="0" fillId="3" borderId="0" xfId="49" applyNumberFormat="1" applyFont="1" applyFill="1" applyBorder="1" applyAlignment="1">
      <alignment wrapText="1"/>
    </xf>
    <xf numFmtId="0" fontId="2" fillId="0" borderId="0" xfId="49" applyNumberFormat="1" applyFont="1" applyFill="1" applyBorder="1" applyAlignment="1">
      <alignment wrapText="1"/>
    </xf>
    <xf numFmtId="178" fontId="0" fillId="0" borderId="0" xfId="49" applyNumberFormat="1" applyFont="1" applyFill="1" applyBorder="1" applyAlignment="1">
      <alignment wrapText="1"/>
    </xf>
    <xf numFmtId="0" fontId="3" fillId="4" borderId="0" xfId="49" applyNumberFormat="1" applyFont="1" applyFill="1" applyBorder="1"/>
  </cellXfs>
  <cellStyles count="50">
    <cellStyle name="일반" xfId="0" builtinId="0"/>
    <cellStyle name="천 단위 구분 기호" xfId="1" builtinId="3"/>
    <cellStyle name="통화" xfId="2" builtinId="4"/>
    <cellStyle name="백분율" xfId="3" builtinId="5"/>
    <cellStyle name="천 단위 구분 기호【0】" xfId="4" builtinId="6"/>
    <cellStyle name="통화【0】" xfId="5" builtinId="7"/>
    <cellStyle name="하이퍼링크" xfId="6" builtinId="8"/>
    <cellStyle name="방문한 하이퍼링크" xfId="7" builtinId="9"/>
    <cellStyle name="메모" xfId="8" builtinId="10"/>
    <cellStyle name="경고 텍스트" xfId="9" builtinId="11"/>
    <cellStyle name="제목" xfId="10" builtinId="15"/>
    <cellStyle name="설명 텍스트" xfId="11" builtinId="53"/>
    <cellStyle name="제목 1" xfId="12" builtinId="16"/>
    <cellStyle name="제목 2" xfId="13" builtinId="17"/>
    <cellStyle name="제목 3" xfId="14" builtinId="18"/>
    <cellStyle name="제목 4" xfId="15" builtinId="19"/>
    <cellStyle name="입력" xfId="16" builtinId="20"/>
    <cellStyle name="출력" xfId="17" builtinId="21"/>
    <cellStyle name="계산" xfId="18" builtinId="22"/>
    <cellStyle name="셀 확인" xfId="19" builtinId="23"/>
    <cellStyle name="링크된 셀" xfId="20" builtinId="24"/>
    <cellStyle name="요약" xfId="21" builtinId="25"/>
    <cellStyle name="좋음" xfId="22" builtinId="26"/>
    <cellStyle name="나쁨" xfId="23" builtinId="27"/>
    <cellStyle name="보통" xfId="24" builtinId="28"/>
    <cellStyle name="강조 1" xfId="25" builtinId="29"/>
    <cellStyle name="20% - 강조 1" xfId="26" builtinId="30"/>
    <cellStyle name="40% - 강조 1" xfId="27" builtinId="31"/>
    <cellStyle name="60% - 강조 1" xfId="28" builtinId="32"/>
    <cellStyle name="강조 2" xfId="29" builtinId="33"/>
    <cellStyle name="20% - 강조 2" xfId="30" builtinId="34"/>
    <cellStyle name="40% - 강조 2" xfId="31" builtinId="35"/>
    <cellStyle name="60% - 강조 2" xfId="32" builtinId="36"/>
    <cellStyle name="강조 3" xfId="33" builtinId="37"/>
    <cellStyle name="20% - 강조 3" xfId="34" builtinId="38"/>
    <cellStyle name="40% - 강조 3" xfId="35" builtinId="39"/>
    <cellStyle name="60% - 강조 3" xfId="36" builtinId="40"/>
    <cellStyle name="강조 4" xfId="37" builtinId="41"/>
    <cellStyle name="20% - 강조 4" xfId="38" builtinId="42"/>
    <cellStyle name="40% - 강조 4" xfId="39" builtinId="43"/>
    <cellStyle name="60% - 강조 4" xfId="40" builtinId="44"/>
    <cellStyle name="강조 5" xfId="41" builtinId="45"/>
    <cellStyle name="20% - 강조 5" xfId="42" builtinId="46"/>
    <cellStyle name="40% - 강조 5" xfId="43" builtinId="47"/>
    <cellStyle name="60% - 강조 5" xfId="44" builtinId="48"/>
    <cellStyle name="강조 6" xfId="45" builtinId="49"/>
    <cellStyle name="20% - 강조 6" xfId="46" builtinId="50"/>
    <cellStyle name="40% - 강조 6" xfId="47" builtinId="51"/>
    <cellStyle name="60% - 강조 6" xfId="48" builtinId="52"/>
    <cellStyle name="Normal" xfId="49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4" Type="http://schemas.openxmlformats.org/officeDocument/2006/relationships/styles" Target="styles.xml"/><Relationship Id="rId13" Type="http://schemas.openxmlformats.org/officeDocument/2006/relationships/sharedStrings" Target="sharedStrings.xml"/><Relationship Id="rId12" Type="http://schemas.openxmlformats.org/officeDocument/2006/relationships/theme" Target="theme/theme1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12"/>
  <sheetViews>
    <sheetView workbookViewId="0">
      <selection activeCell="B8" sqref="B8"/>
    </sheetView>
  </sheetViews>
  <sheetFormatPr defaultColWidth="9" defaultRowHeight="14.25" outlineLevelCol="1"/>
  <cols>
    <col min="1" max="1" width="25" customWidth="1"/>
    <col min="2" max="2" width="100" customWidth="1"/>
  </cols>
  <sheetData>
    <row r="1" ht="32" customHeight="1" spans="1:2">
      <c r="A1" s="1" t="s">
        <v>0</v>
      </c>
      <c r="B1" s="1" t="s">
        <v>1</v>
      </c>
    </row>
    <row r="3" ht="33" customHeight="1" spans="1:2">
      <c r="A3" s="8" t="s">
        <v>2</v>
      </c>
      <c r="B3" s="2" t="s">
        <v>3</v>
      </c>
    </row>
    <row r="4" ht="33" customHeight="1" spans="1:2">
      <c r="A4" s="8" t="s">
        <v>4</v>
      </c>
      <c r="B4" s="2" t="s">
        <v>5</v>
      </c>
    </row>
    <row r="5" ht="33" customHeight="1" spans="1:2">
      <c r="A5" s="8" t="s">
        <v>6</v>
      </c>
      <c r="B5" s="2" t="s">
        <v>7</v>
      </c>
    </row>
    <row r="6" ht="33" customHeight="1" spans="1:2">
      <c r="A6" s="8" t="s">
        <v>8</v>
      </c>
      <c r="B6" s="2" t="s">
        <v>9</v>
      </c>
    </row>
    <row r="7" ht="33" customHeight="1" spans="1:2">
      <c r="A7" s="8" t="s">
        <v>10</v>
      </c>
      <c r="B7" s="2" t="s">
        <v>11</v>
      </c>
    </row>
    <row r="8" ht="33" customHeight="1" spans="1:2">
      <c r="A8" s="8" t="s">
        <v>12</v>
      </c>
      <c r="B8" s="2" t="s">
        <v>13</v>
      </c>
    </row>
    <row r="9" ht="33" customHeight="1" spans="1:2">
      <c r="A9" s="8" t="s">
        <v>14</v>
      </c>
      <c r="B9" s="2" t="s">
        <v>15</v>
      </c>
    </row>
    <row r="10" ht="33" customHeight="1" spans="1:2">
      <c r="A10" s="8" t="s">
        <v>16</v>
      </c>
      <c r="B10" s="2" t="s">
        <v>17</v>
      </c>
    </row>
    <row r="11" ht="33" customHeight="1" spans="1:2">
      <c r="A11" s="8" t="s">
        <v>18</v>
      </c>
      <c r="B11" s="2" t="s">
        <v>19</v>
      </c>
    </row>
    <row r="12" ht="33" customHeight="1" spans="1:2">
      <c r="A12" s="8" t="s">
        <v>20</v>
      </c>
      <c r="B12" s="2" t="s">
        <v>21</v>
      </c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9"/>
  <sheetViews>
    <sheetView tabSelected="1" workbookViewId="0">
      <pane ySplit="1" topLeftCell="A2" activePane="bottomLeft" state="frozen"/>
      <selection/>
      <selection pane="bottomLeft" activeCell="E4" sqref="E4"/>
    </sheetView>
  </sheetViews>
  <sheetFormatPr defaultColWidth="9" defaultRowHeight="14.25" outlineLevelCol="4"/>
  <cols>
    <col min="1" max="1" width="10" customWidth="1"/>
    <col min="2" max="2" width="17" customWidth="1"/>
    <col min="3" max="3" width="25" customWidth="1"/>
    <col min="4" max="4" width="52" customWidth="1"/>
    <col min="5" max="5" width="115" customWidth="1"/>
  </cols>
  <sheetData>
    <row r="1" ht="32" customHeight="1" spans="1:5">
      <c r="A1" s="1" t="s">
        <v>22</v>
      </c>
      <c r="B1" s="1" t="s">
        <v>23</v>
      </c>
      <c r="C1" s="1" t="s">
        <v>24</v>
      </c>
      <c r="D1" s="1" t="s">
        <v>25</v>
      </c>
      <c r="E1" s="1" t="s">
        <v>26</v>
      </c>
    </row>
    <row r="2" ht="86" customHeight="1" spans="1:5">
      <c r="A2" s="2" t="s">
        <v>27</v>
      </c>
      <c r="B2" s="2" t="s">
        <v>28</v>
      </c>
      <c r="C2" s="2" t="s">
        <v>29</v>
      </c>
      <c r="D2" s="2" t="s">
        <v>30</v>
      </c>
      <c r="E2" s="6" t="s">
        <v>31</v>
      </c>
    </row>
    <row r="3" ht="86" customHeight="1" spans="1:5">
      <c r="A3" s="2" t="s">
        <v>32</v>
      </c>
      <c r="B3" s="2" t="s">
        <v>33</v>
      </c>
      <c r="C3" s="2" t="s">
        <v>34</v>
      </c>
      <c r="D3" s="2" t="s">
        <v>35</v>
      </c>
      <c r="E3" s="6" t="s">
        <v>36</v>
      </c>
    </row>
    <row r="4" ht="86" customHeight="1" spans="1:5">
      <c r="A4" s="2" t="s">
        <v>37</v>
      </c>
      <c r="B4" s="7">
        <v>46113</v>
      </c>
      <c r="C4" s="2" t="s">
        <v>38</v>
      </c>
      <c r="D4" s="2" t="s">
        <v>39</v>
      </c>
      <c r="E4" s="6" t="s">
        <v>40</v>
      </c>
    </row>
    <row r="5" ht="86" customHeight="1" spans="1:5">
      <c r="A5" s="2" t="s">
        <v>41</v>
      </c>
      <c r="B5" s="2" t="s">
        <v>42</v>
      </c>
      <c r="C5" s="2" t="s">
        <v>43</v>
      </c>
      <c r="D5" s="2" t="s">
        <v>44</v>
      </c>
      <c r="E5" s="2" t="s">
        <v>45</v>
      </c>
    </row>
    <row r="6" ht="86" customHeight="1" spans="1:5">
      <c r="A6" s="2" t="s">
        <v>46</v>
      </c>
      <c r="B6" s="2" t="s">
        <v>47</v>
      </c>
      <c r="C6" s="2" t="s">
        <v>48</v>
      </c>
      <c r="D6" s="2" t="s">
        <v>49</v>
      </c>
      <c r="E6" s="2" t="s">
        <v>50</v>
      </c>
    </row>
    <row r="7" ht="86" customHeight="1" spans="1:5">
      <c r="A7" s="2" t="s">
        <v>51</v>
      </c>
      <c r="B7" s="2" t="s">
        <v>52</v>
      </c>
      <c r="C7" s="2" t="s">
        <v>53</v>
      </c>
      <c r="D7" s="2" t="s">
        <v>54</v>
      </c>
      <c r="E7" s="2" t="s">
        <v>55</v>
      </c>
    </row>
    <row r="8" ht="86" customHeight="1" spans="1:5">
      <c r="A8" s="2" t="s">
        <v>56</v>
      </c>
      <c r="B8" s="2" t="s">
        <v>57</v>
      </c>
      <c r="C8" s="2" t="s">
        <v>58</v>
      </c>
      <c r="D8" s="2" t="s">
        <v>59</v>
      </c>
      <c r="E8" s="2" t="s">
        <v>60</v>
      </c>
    </row>
    <row r="9" ht="86" customHeight="1" spans="1:5">
      <c r="A9" s="2" t="s">
        <v>61</v>
      </c>
      <c r="B9" s="2" t="s">
        <v>62</v>
      </c>
      <c r="C9" s="2" t="s">
        <v>63</v>
      </c>
      <c r="D9" s="2" t="s">
        <v>64</v>
      </c>
      <c r="E9" s="2" t="s">
        <v>65</v>
      </c>
    </row>
  </sheetData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9"/>
  <sheetViews>
    <sheetView workbookViewId="0">
      <pane ySplit="1" topLeftCell="A2" activePane="bottomLeft" state="frozen"/>
      <selection/>
      <selection pane="bottomLeft" activeCell="C3" sqref="C3"/>
    </sheetView>
  </sheetViews>
  <sheetFormatPr defaultColWidth="9" defaultRowHeight="14.25" outlineLevelCol="5"/>
  <cols>
    <col min="1" max="1" width="10" customWidth="1"/>
    <col min="2" max="2" width="17" customWidth="1"/>
    <col min="3" max="3" width="75" customWidth="1"/>
    <col min="4" max="4" width="63" customWidth="1"/>
    <col min="5" max="5" width="68" customWidth="1"/>
    <col min="6" max="6" width="72" customWidth="1"/>
  </cols>
  <sheetData>
    <row r="1" ht="32" customHeight="1" spans="1:6">
      <c r="A1" s="1" t="s">
        <v>22</v>
      </c>
      <c r="B1" s="1" t="s">
        <v>66</v>
      </c>
      <c r="C1" s="1" t="s">
        <v>67</v>
      </c>
      <c r="D1" s="1" t="s">
        <v>68</v>
      </c>
      <c r="E1" s="1" t="s">
        <v>69</v>
      </c>
      <c r="F1" s="1" t="s">
        <v>70</v>
      </c>
    </row>
    <row r="2" ht="105" customHeight="1" spans="1:6">
      <c r="A2" s="2" t="s">
        <v>27</v>
      </c>
      <c r="B2" s="2" t="s">
        <v>28</v>
      </c>
      <c r="C2" s="2" t="s">
        <v>71</v>
      </c>
      <c r="D2" s="2" t="s">
        <v>72</v>
      </c>
      <c r="E2" s="2" t="s">
        <v>73</v>
      </c>
      <c r="F2" s="2" t="s">
        <v>74</v>
      </c>
    </row>
    <row r="3" ht="105" customHeight="1" spans="1:6">
      <c r="A3" s="2" t="s">
        <v>32</v>
      </c>
      <c r="B3" s="2" t="s">
        <v>33</v>
      </c>
      <c r="C3" s="2" t="s">
        <v>75</v>
      </c>
      <c r="D3" s="2" t="s">
        <v>76</v>
      </c>
      <c r="E3" s="2" t="s">
        <v>77</v>
      </c>
      <c r="F3" s="2" t="s">
        <v>78</v>
      </c>
    </row>
    <row r="4" ht="105" customHeight="1" spans="1:6">
      <c r="A4" s="2" t="s">
        <v>37</v>
      </c>
      <c r="B4" s="2" t="s">
        <v>79</v>
      </c>
      <c r="C4" s="2" t="s">
        <v>80</v>
      </c>
      <c r="D4" s="2" t="s">
        <v>81</v>
      </c>
      <c r="E4" s="2" t="s">
        <v>82</v>
      </c>
      <c r="F4" s="2" t="s">
        <v>83</v>
      </c>
    </row>
    <row r="5" ht="105" customHeight="1" spans="1:6">
      <c r="A5" s="2" t="s">
        <v>41</v>
      </c>
      <c r="B5" s="2" t="s">
        <v>42</v>
      </c>
      <c r="C5" s="2" t="s">
        <v>84</v>
      </c>
      <c r="D5" s="2" t="s">
        <v>85</v>
      </c>
      <c r="E5" s="2" t="s">
        <v>86</v>
      </c>
      <c r="F5" s="2" t="s">
        <v>87</v>
      </c>
    </row>
    <row r="6" ht="105" customHeight="1" spans="1:6">
      <c r="A6" s="2" t="s">
        <v>46</v>
      </c>
      <c r="B6" s="2" t="s">
        <v>47</v>
      </c>
      <c r="C6" s="2" t="s">
        <v>88</v>
      </c>
      <c r="D6" s="2" t="s">
        <v>89</v>
      </c>
      <c r="E6" s="2" t="s">
        <v>90</v>
      </c>
      <c r="F6" s="2" t="s">
        <v>91</v>
      </c>
    </row>
    <row r="7" ht="105" customHeight="1" spans="1:6">
      <c r="A7" s="2" t="s">
        <v>51</v>
      </c>
      <c r="B7" s="2" t="s">
        <v>52</v>
      </c>
      <c r="C7" s="2" t="s">
        <v>92</v>
      </c>
      <c r="D7" s="2" t="s">
        <v>93</v>
      </c>
      <c r="E7" s="2" t="s">
        <v>94</v>
      </c>
      <c r="F7" s="2" t="s">
        <v>95</v>
      </c>
    </row>
    <row r="8" ht="105" customHeight="1" spans="1:6">
      <c r="A8" s="2" t="s">
        <v>56</v>
      </c>
      <c r="B8" s="2" t="s">
        <v>57</v>
      </c>
      <c r="C8" s="2" t="s">
        <v>96</v>
      </c>
      <c r="D8" s="2" t="s">
        <v>97</v>
      </c>
      <c r="E8" s="2" t="s">
        <v>98</v>
      </c>
      <c r="F8" s="2" t="s">
        <v>99</v>
      </c>
    </row>
    <row r="9" ht="105" customHeight="1" spans="1:6">
      <c r="A9" s="2" t="s">
        <v>61</v>
      </c>
      <c r="B9" s="2" t="s">
        <v>62</v>
      </c>
      <c r="C9" s="2" t="s">
        <v>100</v>
      </c>
      <c r="D9" s="2" t="s">
        <v>101</v>
      </c>
      <c r="E9" s="2" t="s">
        <v>102</v>
      </c>
      <c r="F9" s="2" t="s">
        <v>103</v>
      </c>
    </row>
  </sheetData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41"/>
  <sheetViews>
    <sheetView workbookViewId="0">
      <pane ySplit="1" topLeftCell="A2" activePane="bottomLeft" state="frozen"/>
      <selection/>
      <selection pane="bottomLeft" activeCell="A1" sqref="A1"/>
    </sheetView>
  </sheetViews>
  <sheetFormatPr defaultColWidth="9" defaultRowHeight="14.25"/>
  <cols>
    <col min="1" max="1" width="11" customWidth="1"/>
    <col min="2" max="2" width="17" customWidth="1"/>
    <col min="3" max="3" width="13" customWidth="1"/>
    <col min="4" max="4" width="29" customWidth="1"/>
    <col min="5" max="5" width="80" customWidth="1"/>
    <col min="6" max="6" width="14" customWidth="1"/>
    <col min="7" max="7" width="16" customWidth="1"/>
    <col min="8" max="8" width="65" customWidth="1"/>
    <col min="9" max="9" width="48" customWidth="1"/>
  </cols>
  <sheetData>
    <row r="1" ht="32" customHeight="1" spans="1:9">
      <c r="A1" s="1" t="s">
        <v>22</v>
      </c>
      <c r="B1" s="1" t="s">
        <v>66</v>
      </c>
      <c r="C1" s="1" t="s">
        <v>104</v>
      </c>
      <c r="D1" s="1" t="s">
        <v>105</v>
      </c>
      <c r="E1" s="1" t="s">
        <v>106</v>
      </c>
      <c r="F1" s="1" t="s">
        <v>107</v>
      </c>
      <c r="G1" s="1" t="s">
        <v>108</v>
      </c>
      <c r="H1" s="1" t="s">
        <v>109</v>
      </c>
      <c r="I1" s="1" t="s">
        <v>110</v>
      </c>
    </row>
    <row r="2" ht="37" customHeight="1" spans="1:9">
      <c r="A2" s="2" t="s">
        <v>27</v>
      </c>
      <c r="B2" s="2" t="s">
        <v>28</v>
      </c>
      <c r="C2" s="2" t="s">
        <v>14</v>
      </c>
      <c r="D2" s="2" t="s">
        <v>111</v>
      </c>
      <c r="E2" s="2" t="s">
        <v>112</v>
      </c>
      <c r="F2" s="2" t="str">
        <f t="shared" ref="F2:F41" si="0">IF(G2="충족",1,IF(G2="부분",0.5,IF(G2="미충족",0,"")))</f>
        <v/>
      </c>
      <c r="G2" s="5" t="s">
        <v>113</v>
      </c>
      <c r="H2" s="2" t="s">
        <v>114</v>
      </c>
      <c r="I2" s="2" t="s">
        <v>114</v>
      </c>
    </row>
    <row r="3" ht="37" customHeight="1" spans="1:9">
      <c r="A3" s="2" t="s">
        <v>27</v>
      </c>
      <c r="B3" s="2" t="s">
        <v>28</v>
      </c>
      <c r="C3" s="2" t="s">
        <v>14</v>
      </c>
      <c r="D3" s="2" t="s">
        <v>115</v>
      </c>
      <c r="E3" s="2" t="s">
        <v>116</v>
      </c>
      <c r="F3" s="2" t="str">
        <f t="shared" si="0"/>
        <v/>
      </c>
      <c r="G3" s="5" t="s">
        <v>113</v>
      </c>
      <c r="H3" s="2" t="s">
        <v>114</v>
      </c>
      <c r="I3" s="2" t="s">
        <v>114</v>
      </c>
    </row>
    <row r="4" ht="37" customHeight="1" spans="1:9">
      <c r="A4" s="2" t="s">
        <v>27</v>
      </c>
      <c r="B4" s="2" t="s">
        <v>28</v>
      </c>
      <c r="C4" s="2" t="s">
        <v>117</v>
      </c>
      <c r="D4" s="2" t="s">
        <v>118</v>
      </c>
      <c r="E4" s="2" t="s">
        <v>119</v>
      </c>
      <c r="F4" s="2" t="str">
        <f t="shared" si="0"/>
        <v/>
      </c>
      <c r="G4" s="5" t="s">
        <v>113</v>
      </c>
      <c r="H4" s="2" t="s">
        <v>114</v>
      </c>
      <c r="I4" s="2" t="s">
        <v>114</v>
      </c>
    </row>
    <row r="5" ht="37" customHeight="1" spans="1:9">
      <c r="A5" s="2" t="s">
        <v>27</v>
      </c>
      <c r="B5" s="2" t="s">
        <v>28</v>
      </c>
      <c r="C5" s="2" t="s">
        <v>117</v>
      </c>
      <c r="D5" s="2" t="s">
        <v>120</v>
      </c>
      <c r="E5" s="2" t="s">
        <v>121</v>
      </c>
      <c r="F5" s="2" t="str">
        <f t="shared" si="0"/>
        <v/>
      </c>
      <c r="G5" s="5" t="s">
        <v>113</v>
      </c>
      <c r="H5" s="2" t="s">
        <v>114</v>
      </c>
      <c r="I5" s="2" t="s">
        <v>114</v>
      </c>
    </row>
    <row r="6" ht="37" customHeight="1" spans="1:9">
      <c r="A6" s="2" t="s">
        <v>27</v>
      </c>
      <c r="B6" s="2" t="s">
        <v>28</v>
      </c>
      <c r="C6" s="2" t="s">
        <v>117</v>
      </c>
      <c r="D6" s="2" t="s">
        <v>122</v>
      </c>
      <c r="E6" s="2" t="s">
        <v>123</v>
      </c>
      <c r="F6" s="2" t="str">
        <f t="shared" si="0"/>
        <v/>
      </c>
      <c r="G6" s="5" t="s">
        <v>113</v>
      </c>
      <c r="H6" s="2" t="s">
        <v>114</v>
      </c>
      <c r="I6" s="2" t="s">
        <v>114</v>
      </c>
    </row>
    <row r="7" ht="37" customHeight="1" spans="1:9">
      <c r="A7" s="2" t="s">
        <v>32</v>
      </c>
      <c r="B7" s="2" t="s">
        <v>33</v>
      </c>
      <c r="C7" s="2" t="s">
        <v>14</v>
      </c>
      <c r="D7" s="2" t="s">
        <v>111</v>
      </c>
      <c r="E7" s="2" t="s">
        <v>112</v>
      </c>
      <c r="F7" s="2" t="str">
        <f t="shared" si="0"/>
        <v/>
      </c>
      <c r="G7" s="5" t="s">
        <v>113</v>
      </c>
      <c r="H7" s="2" t="s">
        <v>114</v>
      </c>
      <c r="I7" s="2" t="s">
        <v>114</v>
      </c>
    </row>
    <row r="8" ht="37" customHeight="1" spans="1:9">
      <c r="A8" s="2" t="s">
        <v>32</v>
      </c>
      <c r="B8" s="2" t="s">
        <v>33</v>
      </c>
      <c r="C8" s="2" t="s">
        <v>14</v>
      </c>
      <c r="D8" s="2" t="s">
        <v>115</v>
      </c>
      <c r="E8" s="2" t="s">
        <v>116</v>
      </c>
      <c r="F8" s="2" t="str">
        <f t="shared" si="0"/>
        <v/>
      </c>
      <c r="G8" s="5" t="s">
        <v>113</v>
      </c>
      <c r="H8" s="2" t="s">
        <v>114</v>
      </c>
      <c r="I8" s="2" t="s">
        <v>114</v>
      </c>
    </row>
    <row r="9" ht="37" customHeight="1" spans="1:9">
      <c r="A9" s="2" t="s">
        <v>32</v>
      </c>
      <c r="B9" s="2" t="s">
        <v>33</v>
      </c>
      <c r="C9" s="2" t="s">
        <v>117</v>
      </c>
      <c r="D9" s="2" t="s">
        <v>118</v>
      </c>
      <c r="E9" s="2" t="s">
        <v>119</v>
      </c>
      <c r="F9" s="2" t="str">
        <f t="shared" si="0"/>
        <v/>
      </c>
      <c r="G9" s="5" t="s">
        <v>113</v>
      </c>
      <c r="H9" s="2" t="s">
        <v>114</v>
      </c>
      <c r="I9" s="2" t="s">
        <v>114</v>
      </c>
    </row>
    <row r="10" ht="37" customHeight="1" spans="1:9">
      <c r="A10" s="2" t="s">
        <v>32</v>
      </c>
      <c r="B10" s="2" t="s">
        <v>33</v>
      </c>
      <c r="C10" s="2" t="s">
        <v>117</v>
      </c>
      <c r="D10" s="2" t="s">
        <v>120</v>
      </c>
      <c r="E10" s="2" t="s">
        <v>121</v>
      </c>
      <c r="F10" s="2" t="str">
        <f t="shared" si="0"/>
        <v/>
      </c>
      <c r="G10" s="5" t="s">
        <v>113</v>
      </c>
      <c r="H10" s="2" t="s">
        <v>114</v>
      </c>
      <c r="I10" s="2" t="s">
        <v>114</v>
      </c>
    </row>
    <row r="11" ht="37" customHeight="1" spans="1:9">
      <c r="A11" s="2" t="s">
        <v>32</v>
      </c>
      <c r="B11" s="2" t="s">
        <v>33</v>
      </c>
      <c r="C11" s="2" t="s">
        <v>117</v>
      </c>
      <c r="D11" s="2" t="s">
        <v>122</v>
      </c>
      <c r="E11" s="2" t="s">
        <v>123</v>
      </c>
      <c r="F11" s="2" t="str">
        <f t="shared" si="0"/>
        <v/>
      </c>
      <c r="G11" s="5" t="s">
        <v>113</v>
      </c>
      <c r="H11" s="2" t="s">
        <v>114</v>
      </c>
      <c r="I11" s="2" t="s">
        <v>114</v>
      </c>
    </row>
    <row r="12" ht="37" customHeight="1" spans="1:9">
      <c r="A12" s="2" t="s">
        <v>37</v>
      </c>
      <c r="B12" s="2" t="s">
        <v>79</v>
      </c>
      <c r="C12" s="2" t="s">
        <v>14</v>
      </c>
      <c r="D12" s="2" t="s">
        <v>111</v>
      </c>
      <c r="E12" s="2" t="s">
        <v>112</v>
      </c>
      <c r="F12" s="2" t="str">
        <f t="shared" si="0"/>
        <v/>
      </c>
      <c r="G12" s="5" t="s">
        <v>113</v>
      </c>
      <c r="H12" s="2" t="s">
        <v>114</v>
      </c>
      <c r="I12" s="2" t="s">
        <v>114</v>
      </c>
    </row>
    <row r="13" ht="37" customHeight="1" spans="1:9">
      <c r="A13" s="2" t="s">
        <v>37</v>
      </c>
      <c r="B13" s="2" t="s">
        <v>79</v>
      </c>
      <c r="C13" s="2" t="s">
        <v>14</v>
      </c>
      <c r="D13" s="2" t="s">
        <v>115</v>
      </c>
      <c r="E13" s="2" t="s">
        <v>116</v>
      </c>
      <c r="F13" s="2" t="str">
        <f t="shared" si="0"/>
        <v/>
      </c>
      <c r="G13" s="5" t="s">
        <v>113</v>
      </c>
      <c r="H13" s="2" t="s">
        <v>114</v>
      </c>
      <c r="I13" s="2" t="s">
        <v>114</v>
      </c>
    </row>
    <row r="14" ht="37" customHeight="1" spans="1:9">
      <c r="A14" s="2" t="s">
        <v>37</v>
      </c>
      <c r="B14" s="2" t="s">
        <v>79</v>
      </c>
      <c r="C14" s="2" t="s">
        <v>117</v>
      </c>
      <c r="D14" s="2" t="s">
        <v>118</v>
      </c>
      <c r="E14" s="2" t="s">
        <v>119</v>
      </c>
      <c r="F14" s="2" t="str">
        <f t="shared" si="0"/>
        <v/>
      </c>
      <c r="G14" s="5" t="s">
        <v>113</v>
      </c>
      <c r="H14" s="2" t="s">
        <v>114</v>
      </c>
      <c r="I14" s="2" t="s">
        <v>114</v>
      </c>
    </row>
    <row r="15" ht="37" customHeight="1" spans="1:9">
      <c r="A15" s="2" t="s">
        <v>37</v>
      </c>
      <c r="B15" s="2" t="s">
        <v>79</v>
      </c>
      <c r="C15" s="2" t="s">
        <v>117</v>
      </c>
      <c r="D15" s="2" t="s">
        <v>120</v>
      </c>
      <c r="E15" s="2" t="s">
        <v>121</v>
      </c>
      <c r="F15" s="2" t="str">
        <f t="shared" si="0"/>
        <v/>
      </c>
      <c r="G15" s="5" t="s">
        <v>113</v>
      </c>
      <c r="H15" s="2" t="s">
        <v>114</v>
      </c>
      <c r="I15" s="2" t="s">
        <v>114</v>
      </c>
    </row>
    <row r="16" ht="37" customHeight="1" spans="1:9">
      <c r="A16" s="2" t="s">
        <v>37</v>
      </c>
      <c r="B16" s="2" t="s">
        <v>79</v>
      </c>
      <c r="C16" s="2" t="s">
        <v>117</v>
      </c>
      <c r="D16" s="2" t="s">
        <v>122</v>
      </c>
      <c r="E16" s="2" t="s">
        <v>123</v>
      </c>
      <c r="F16" s="2" t="str">
        <f t="shared" si="0"/>
        <v/>
      </c>
      <c r="G16" s="5" t="s">
        <v>113</v>
      </c>
      <c r="H16" s="2" t="s">
        <v>114</v>
      </c>
      <c r="I16" s="2" t="s">
        <v>114</v>
      </c>
    </row>
    <row r="17" ht="37" customHeight="1" spans="1:9">
      <c r="A17" s="2" t="s">
        <v>41</v>
      </c>
      <c r="B17" s="2" t="s">
        <v>42</v>
      </c>
      <c r="C17" s="2" t="s">
        <v>14</v>
      </c>
      <c r="D17" s="2" t="s">
        <v>111</v>
      </c>
      <c r="E17" s="2" t="s">
        <v>112</v>
      </c>
      <c r="F17" s="2" t="str">
        <f t="shared" si="0"/>
        <v/>
      </c>
      <c r="G17" s="5" t="s">
        <v>113</v>
      </c>
      <c r="H17" s="2" t="s">
        <v>114</v>
      </c>
      <c r="I17" s="2" t="s">
        <v>114</v>
      </c>
    </row>
    <row r="18" ht="37" customHeight="1" spans="1:9">
      <c r="A18" s="2" t="s">
        <v>41</v>
      </c>
      <c r="B18" s="2" t="s">
        <v>42</v>
      </c>
      <c r="C18" s="2" t="s">
        <v>14</v>
      </c>
      <c r="D18" s="2" t="s">
        <v>115</v>
      </c>
      <c r="E18" s="2" t="s">
        <v>116</v>
      </c>
      <c r="F18" s="2" t="str">
        <f t="shared" si="0"/>
        <v/>
      </c>
      <c r="G18" s="5" t="s">
        <v>113</v>
      </c>
      <c r="H18" s="2" t="s">
        <v>114</v>
      </c>
      <c r="I18" s="2" t="s">
        <v>114</v>
      </c>
    </row>
    <row r="19" ht="37" customHeight="1" spans="1:9">
      <c r="A19" s="2" t="s">
        <v>41</v>
      </c>
      <c r="B19" s="2" t="s">
        <v>42</v>
      </c>
      <c r="C19" s="2" t="s">
        <v>117</v>
      </c>
      <c r="D19" s="2" t="s">
        <v>118</v>
      </c>
      <c r="E19" s="2" t="s">
        <v>119</v>
      </c>
      <c r="F19" s="2" t="str">
        <f t="shared" si="0"/>
        <v/>
      </c>
      <c r="G19" s="5" t="s">
        <v>113</v>
      </c>
      <c r="H19" s="2" t="s">
        <v>114</v>
      </c>
      <c r="I19" s="2" t="s">
        <v>114</v>
      </c>
    </row>
    <row r="20" ht="37" customHeight="1" spans="1:9">
      <c r="A20" s="2" t="s">
        <v>41</v>
      </c>
      <c r="B20" s="2" t="s">
        <v>42</v>
      </c>
      <c r="C20" s="2" t="s">
        <v>117</v>
      </c>
      <c r="D20" s="2" t="s">
        <v>120</v>
      </c>
      <c r="E20" s="2" t="s">
        <v>121</v>
      </c>
      <c r="F20" s="2" t="str">
        <f t="shared" si="0"/>
        <v/>
      </c>
      <c r="G20" s="5" t="s">
        <v>113</v>
      </c>
      <c r="H20" s="2" t="s">
        <v>114</v>
      </c>
      <c r="I20" s="2" t="s">
        <v>114</v>
      </c>
    </row>
    <row r="21" ht="37" customHeight="1" spans="1:9">
      <c r="A21" s="2" t="s">
        <v>41</v>
      </c>
      <c r="B21" s="2" t="s">
        <v>42</v>
      </c>
      <c r="C21" s="2" t="s">
        <v>117</v>
      </c>
      <c r="D21" s="2" t="s">
        <v>122</v>
      </c>
      <c r="E21" s="2" t="s">
        <v>123</v>
      </c>
      <c r="F21" s="2" t="str">
        <f t="shared" si="0"/>
        <v/>
      </c>
      <c r="G21" s="5" t="s">
        <v>113</v>
      </c>
      <c r="H21" s="2" t="s">
        <v>114</v>
      </c>
      <c r="I21" s="2" t="s">
        <v>114</v>
      </c>
    </row>
    <row r="22" ht="37" customHeight="1" spans="1:9">
      <c r="A22" s="2" t="s">
        <v>46</v>
      </c>
      <c r="B22" s="2" t="s">
        <v>47</v>
      </c>
      <c r="C22" s="2" t="s">
        <v>14</v>
      </c>
      <c r="D22" s="2" t="s">
        <v>111</v>
      </c>
      <c r="E22" s="2" t="s">
        <v>112</v>
      </c>
      <c r="F22" s="2" t="str">
        <f t="shared" si="0"/>
        <v/>
      </c>
      <c r="G22" s="5" t="s">
        <v>113</v>
      </c>
      <c r="H22" s="2" t="s">
        <v>114</v>
      </c>
      <c r="I22" s="2" t="s">
        <v>114</v>
      </c>
    </row>
    <row r="23" ht="37" customHeight="1" spans="1:9">
      <c r="A23" s="2" t="s">
        <v>46</v>
      </c>
      <c r="B23" s="2" t="s">
        <v>47</v>
      </c>
      <c r="C23" s="2" t="s">
        <v>14</v>
      </c>
      <c r="D23" s="2" t="s">
        <v>115</v>
      </c>
      <c r="E23" s="2" t="s">
        <v>116</v>
      </c>
      <c r="F23" s="2" t="str">
        <f t="shared" si="0"/>
        <v/>
      </c>
      <c r="G23" s="5" t="s">
        <v>113</v>
      </c>
      <c r="H23" s="2" t="s">
        <v>114</v>
      </c>
      <c r="I23" s="2" t="s">
        <v>114</v>
      </c>
    </row>
    <row r="24" ht="37" customHeight="1" spans="1:9">
      <c r="A24" s="2" t="s">
        <v>46</v>
      </c>
      <c r="B24" s="2" t="s">
        <v>47</v>
      </c>
      <c r="C24" s="2" t="s">
        <v>117</v>
      </c>
      <c r="D24" s="2" t="s">
        <v>118</v>
      </c>
      <c r="E24" s="2" t="s">
        <v>119</v>
      </c>
      <c r="F24" s="2" t="str">
        <f t="shared" si="0"/>
        <v/>
      </c>
      <c r="G24" s="5" t="s">
        <v>113</v>
      </c>
      <c r="H24" s="2" t="s">
        <v>114</v>
      </c>
      <c r="I24" s="2" t="s">
        <v>114</v>
      </c>
    </row>
    <row r="25" ht="37" customHeight="1" spans="1:9">
      <c r="A25" s="2" t="s">
        <v>46</v>
      </c>
      <c r="B25" s="2" t="s">
        <v>47</v>
      </c>
      <c r="C25" s="2" t="s">
        <v>117</v>
      </c>
      <c r="D25" s="2" t="s">
        <v>120</v>
      </c>
      <c r="E25" s="2" t="s">
        <v>121</v>
      </c>
      <c r="F25" s="2" t="str">
        <f t="shared" si="0"/>
        <v/>
      </c>
      <c r="G25" s="5" t="s">
        <v>113</v>
      </c>
      <c r="H25" s="2" t="s">
        <v>114</v>
      </c>
      <c r="I25" s="2" t="s">
        <v>114</v>
      </c>
    </row>
    <row r="26" ht="37" customHeight="1" spans="1:9">
      <c r="A26" s="2" t="s">
        <v>46</v>
      </c>
      <c r="B26" s="2" t="s">
        <v>47</v>
      </c>
      <c r="C26" s="2" t="s">
        <v>117</v>
      </c>
      <c r="D26" s="2" t="s">
        <v>122</v>
      </c>
      <c r="E26" s="2" t="s">
        <v>123</v>
      </c>
      <c r="F26" s="2" t="str">
        <f t="shared" si="0"/>
        <v/>
      </c>
      <c r="G26" s="5" t="s">
        <v>113</v>
      </c>
      <c r="H26" s="2" t="s">
        <v>114</v>
      </c>
      <c r="I26" s="2" t="s">
        <v>114</v>
      </c>
    </row>
    <row r="27" ht="37" customHeight="1" spans="1:9">
      <c r="A27" s="2" t="s">
        <v>51</v>
      </c>
      <c r="B27" s="2" t="s">
        <v>52</v>
      </c>
      <c r="C27" s="2" t="s">
        <v>14</v>
      </c>
      <c r="D27" s="2" t="s">
        <v>111</v>
      </c>
      <c r="E27" s="2" t="s">
        <v>112</v>
      </c>
      <c r="F27" s="2" t="str">
        <f t="shared" si="0"/>
        <v/>
      </c>
      <c r="G27" s="5" t="s">
        <v>113</v>
      </c>
      <c r="H27" s="2" t="s">
        <v>114</v>
      </c>
      <c r="I27" s="2" t="s">
        <v>114</v>
      </c>
    </row>
    <row r="28" ht="37" customHeight="1" spans="1:9">
      <c r="A28" s="2" t="s">
        <v>51</v>
      </c>
      <c r="B28" s="2" t="s">
        <v>52</v>
      </c>
      <c r="C28" s="2" t="s">
        <v>14</v>
      </c>
      <c r="D28" s="2" t="s">
        <v>115</v>
      </c>
      <c r="E28" s="2" t="s">
        <v>116</v>
      </c>
      <c r="F28" s="2" t="str">
        <f t="shared" si="0"/>
        <v/>
      </c>
      <c r="G28" s="5" t="s">
        <v>113</v>
      </c>
      <c r="H28" s="2" t="s">
        <v>114</v>
      </c>
      <c r="I28" s="2" t="s">
        <v>114</v>
      </c>
    </row>
    <row r="29" ht="37" customHeight="1" spans="1:9">
      <c r="A29" s="2" t="s">
        <v>51</v>
      </c>
      <c r="B29" s="2" t="s">
        <v>52</v>
      </c>
      <c r="C29" s="2" t="s">
        <v>117</v>
      </c>
      <c r="D29" s="2" t="s">
        <v>118</v>
      </c>
      <c r="E29" s="2" t="s">
        <v>119</v>
      </c>
      <c r="F29" s="2" t="str">
        <f t="shared" si="0"/>
        <v/>
      </c>
      <c r="G29" s="5" t="s">
        <v>113</v>
      </c>
      <c r="H29" s="2" t="s">
        <v>114</v>
      </c>
      <c r="I29" s="2" t="s">
        <v>114</v>
      </c>
    </row>
    <row r="30" ht="37" customHeight="1" spans="1:9">
      <c r="A30" s="2" t="s">
        <v>51</v>
      </c>
      <c r="B30" s="2" t="s">
        <v>52</v>
      </c>
      <c r="C30" s="2" t="s">
        <v>117</v>
      </c>
      <c r="D30" s="2" t="s">
        <v>120</v>
      </c>
      <c r="E30" s="2" t="s">
        <v>121</v>
      </c>
      <c r="F30" s="2" t="str">
        <f t="shared" si="0"/>
        <v/>
      </c>
      <c r="G30" s="5" t="s">
        <v>113</v>
      </c>
      <c r="H30" s="2" t="s">
        <v>114</v>
      </c>
      <c r="I30" s="2" t="s">
        <v>114</v>
      </c>
    </row>
    <row r="31" ht="37" customHeight="1" spans="1:9">
      <c r="A31" s="2" t="s">
        <v>51</v>
      </c>
      <c r="B31" s="2" t="s">
        <v>52</v>
      </c>
      <c r="C31" s="2" t="s">
        <v>117</v>
      </c>
      <c r="D31" s="2" t="s">
        <v>122</v>
      </c>
      <c r="E31" s="2" t="s">
        <v>123</v>
      </c>
      <c r="F31" s="2" t="str">
        <f t="shared" si="0"/>
        <v/>
      </c>
      <c r="G31" s="5" t="s">
        <v>113</v>
      </c>
      <c r="H31" s="2" t="s">
        <v>114</v>
      </c>
      <c r="I31" s="2" t="s">
        <v>114</v>
      </c>
    </row>
    <row r="32" ht="37" customHeight="1" spans="1:9">
      <c r="A32" s="2" t="s">
        <v>56</v>
      </c>
      <c r="B32" s="2" t="s">
        <v>57</v>
      </c>
      <c r="C32" s="2" t="s">
        <v>14</v>
      </c>
      <c r="D32" s="2" t="s">
        <v>111</v>
      </c>
      <c r="E32" s="2" t="s">
        <v>112</v>
      </c>
      <c r="F32" s="2" t="str">
        <f t="shared" si="0"/>
        <v/>
      </c>
      <c r="G32" s="5" t="s">
        <v>113</v>
      </c>
      <c r="H32" s="2" t="s">
        <v>114</v>
      </c>
      <c r="I32" s="2" t="s">
        <v>114</v>
      </c>
    </row>
    <row r="33" ht="37" customHeight="1" spans="1:9">
      <c r="A33" s="2" t="s">
        <v>56</v>
      </c>
      <c r="B33" s="2" t="s">
        <v>57</v>
      </c>
      <c r="C33" s="2" t="s">
        <v>14</v>
      </c>
      <c r="D33" s="2" t="s">
        <v>115</v>
      </c>
      <c r="E33" s="2" t="s">
        <v>116</v>
      </c>
      <c r="F33" s="2" t="str">
        <f t="shared" si="0"/>
        <v/>
      </c>
      <c r="G33" s="5" t="s">
        <v>113</v>
      </c>
      <c r="H33" s="2" t="s">
        <v>114</v>
      </c>
      <c r="I33" s="2" t="s">
        <v>114</v>
      </c>
    </row>
    <row r="34" ht="37" customHeight="1" spans="1:9">
      <c r="A34" s="2" t="s">
        <v>56</v>
      </c>
      <c r="B34" s="2" t="s">
        <v>57</v>
      </c>
      <c r="C34" s="2" t="s">
        <v>117</v>
      </c>
      <c r="D34" s="2" t="s">
        <v>118</v>
      </c>
      <c r="E34" s="2" t="s">
        <v>119</v>
      </c>
      <c r="F34" s="2" t="str">
        <f t="shared" si="0"/>
        <v/>
      </c>
      <c r="G34" s="5" t="s">
        <v>113</v>
      </c>
      <c r="H34" s="2" t="s">
        <v>114</v>
      </c>
      <c r="I34" s="2" t="s">
        <v>114</v>
      </c>
    </row>
    <row r="35" ht="37" customHeight="1" spans="1:9">
      <c r="A35" s="2" t="s">
        <v>56</v>
      </c>
      <c r="B35" s="2" t="s">
        <v>57</v>
      </c>
      <c r="C35" s="2" t="s">
        <v>117</v>
      </c>
      <c r="D35" s="2" t="s">
        <v>120</v>
      </c>
      <c r="E35" s="2" t="s">
        <v>121</v>
      </c>
      <c r="F35" s="2" t="str">
        <f t="shared" si="0"/>
        <v/>
      </c>
      <c r="G35" s="5" t="s">
        <v>113</v>
      </c>
      <c r="H35" s="2" t="s">
        <v>114</v>
      </c>
      <c r="I35" s="2" t="s">
        <v>114</v>
      </c>
    </row>
    <row r="36" ht="37" customHeight="1" spans="1:9">
      <c r="A36" s="2" t="s">
        <v>56</v>
      </c>
      <c r="B36" s="2" t="s">
        <v>57</v>
      </c>
      <c r="C36" s="2" t="s">
        <v>117</v>
      </c>
      <c r="D36" s="2" t="s">
        <v>122</v>
      </c>
      <c r="E36" s="2" t="s">
        <v>123</v>
      </c>
      <c r="F36" s="2" t="str">
        <f t="shared" si="0"/>
        <v/>
      </c>
      <c r="G36" s="5" t="s">
        <v>113</v>
      </c>
      <c r="H36" s="2" t="s">
        <v>114</v>
      </c>
      <c r="I36" s="2" t="s">
        <v>114</v>
      </c>
    </row>
    <row r="37" ht="37" customHeight="1" spans="1:9">
      <c r="A37" s="2" t="s">
        <v>61</v>
      </c>
      <c r="B37" s="2" t="s">
        <v>62</v>
      </c>
      <c r="C37" s="2" t="s">
        <v>14</v>
      </c>
      <c r="D37" s="2" t="s">
        <v>111</v>
      </c>
      <c r="E37" s="2" t="s">
        <v>112</v>
      </c>
      <c r="F37" s="2" t="str">
        <f t="shared" si="0"/>
        <v/>
      </c>
      <c r="G37" s="5" t="s">
        <v>113</v>
      </c>
      <c r="H37" s="2" t="s">
        <v>114</v>
      </c>
      <c r="I37" s="2" t="s">
        <v>114</v>
      </c>
    </row>
    <row r="38" ht="37" customHeight="1" spans="1:9">
      <c r="A38" s="2" t="s">
        <v>61</v>
      </c>
      <c r="B38" s="2" t="s">
        <v>62</v>
      </c>
      <c r="C38" s="2" t="s">
        <v>14</v>
      </c>
      <c r="D38" s="2" t="s">
        <v>115</v>
      </c>
      <c r="E38" s="2" t="s">
        <v>116</v>
      </c>
      <c r="F38" s="2" t="str">
        <f t="shared" si="0"/>
        <v/>
      </c>
      <c r="G38" s="5" t="s">
        <v>113</v>
      </c>
      <c r="H38" s="2" t="s">
        <v>114</v>
      </c>
      <c r="I38" s="2" t="s">
        <v>114</v>
      </c>
    </row>
    <row r="39" ht="37" customHeight="1" spans="1:9">
      <c r="A39" s="2" t="s">
        <v>61</v>
      </c>
      <c r="B39" s="2" t="s">
        <v>62</v>
      </c>
      <c r="C39" s="2" t="s">
        <v>117</v>
      </c>
      <c r="D39" s="2" t="s">
        <v>118</v>
      </c>
      <c r="E39" s="2" t="s">
        <v>119</v>
      </c>
      <c r="F39" s="2" t="str">
        <f t="shared" si="0"/>
        <v/>
      </c>
      <c r="G39" s="5" t="s">
        <v>113</v>
      </c>
      <c r="H39" s="2" t="s">
        <v>114</v>
      </c>
      <c r="I39" s="2" t="s">
        <v>114</v>
      </c>
    </row>
    <row r="40" ht="37" customHeight="1" spans="1:9">
      <c r="A40" s="2" t="s">
        <v>61</v>
      </c>
      <c r="B40" s="2" t="s">
        <v>62</v>
      </c>
      <c r="C40" s="2" t="s">
        <v>117</v>
      </c>
      <c r="D40" s="2" t="s">
        <v>120</v>
      </c>
      <c r="E40" s="2" t="s">
        <v>121</v>
      </c>
      <c r="F40" s="2" t="str">
        <f t="shared" si="0"/>
        <v/>
      </c>
      <c r="G40" s="5" t="s">
        <v>113</v>
      </c>
      <c r="H40" s="2" t="s">
        <v>114</v>
      </c>
      <c r="I40" s="2" t="s">
        <v>114</v>
      </c>
    </row>
    <row r="41" ht="37" customHeight="1" spans="1:9">
      <c r="A41" s="2" t="s">
        <v>61</v>
      </c>
      <c r="B41" s="2" t="s">
        <v>62</v>
      </c>
      <c r="C41" s="2" t="s">
        <v>117</v>
      </c>
      <c r="D41" s="2" t="s">
        <v>122</v>
      </c>
      <c r="E41" s="2" t="s">
        <v>123</v>
      </c>
      <c r="F41" s="2" t="str">
        <f t="shared" si="0"/>
        <v/>
      </c>
      <c r="G41" s="5" t="s">
        <v>113</v>
      </c>
      <c r="H41" s="2" t="s">
        <v>114</v>
      </c>
      <c r="I41" s="2" t="s">
        <v>114</v>
      </c>
    </row>
  </sheetData>
  <dataValidations count="1">
    <dataValidation type="list" sqref="G2:G41">
      <formula1>"미평가,충족,부분,미충족"</formula1>
    </dataValidation>
  </dataValidations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26"/>
  <sheetViews>
    <sheetView workbookViewId="0">
      <selection activeCell="A1" sqref="A1"/>
    </sheetView>
  </sheetViews>
  <sheetFormatPr defaultColWidth="9" defaultRowHeight="14.25" outlineLevelCol="3"/>
  <cols>
    <col min="1" max="1" width="55" customWidth="1"/>
    <col min="2" max="2" width="25" customWidth="1"/>
    <col min="3" max="3" width="22" customWidth="1"/>
    <col min="4" max="4" width="34" customWidth="1"/>
  </cols>
  <sheetData>
    <row r="1" ht="32" customHeight="1" spans="1:4">
      <c r="A1" s="1" t="s">
        <v>124</v>
      </c>
      <c r="B1" s="1" t="s">
        <v>125</v>
      </c>
      <c r="C1" s="1" t="s">
        <v>126</v>
      </c>
      <c r="D1" s="1" t="s">
        <v>127</v>
      </c>
    </row>
    <row r="2" ht="30" customHeight="1" spans="1:4">
      <c r="A2" t="s">
        <v>128</v>
      </c>
      <c r="B2">
        <f>COUNTIFS(채점입력!C2:C41,"K1",채점입력!G2:G41,"&lt;&gt;미평가")</f>
        <v>0</v>
      </c>
      <c r="C2">
        <f>SUMIF(채점입력!C2:C41,"K1",채점입력!F2:F41)</f>
        <v>0</v>
      </c>
      <c r="D2" t="str">
        <f>IF(B2&lt;16,"측정 중",IF(C2/16&gt;=0.9,"달성 "&amp;TEXT(C2/16,"0.0%"),"미달 "&amp;TEXT(C2/16,"0.0%")))</f>
        <v>측정 중</v>
      </c>
    </row>
    <row r="3" ht="30" customHeight="1" spans="1:4">
      <c r="A3" t="s">
        <v>129</v>
      </c>
      <c r="B3">
        <f>COUNTIFS(채점입력!C2:C41,"진단",채점입력!G2:G41,"&lt;&gt;미평가")</f>
        <v>0</v>
      </c>
      <c r="C3">
        <f>SUMIF(채점입력!C2:C41,"진단",채점입력!F2:F41)</f>
        <v>0</v>
      </c>
      <c r="D3" t="str">
        <f>IF(B3&lt;24,"측정 중",TEXT(C3/24,"0.0%"))</f>
        <v>측정 중</v>
      </c>
    </row>
    <row r="4" ht="30" customHeight="1" spans="1:4">
      <c r="A4" t="s">
        <v>130</v>
      </c>
      <c r="B4">
        <f>B2+B3</f>
        <v>0</v>
      </c>
      <c r="C4">
        <f>C2+C3</f>
        <v>0</v>
      </c>
      <c r="D4" t="str">
        <f>IF(B4&lt;40,"측정 중",TEXT(C4/40,"0.0%"))</f>
        <v>측정 중</v>
      </c>
    </row>
    <row r="5" ht="30" customHeight="1" spans="1:4">
      <c r="A5" t="s">
        <v>131</v>
      </c>
      <c r="B5">
        <f>B4</f>
        <v>0</v>
      </c>
    </row>
    <row r="6" ht="30" customHeight="1"/>
    <row r="7" ht="30" customHeight="1"/>
    <row r="8" ht="30" customHeight="1" spans="1:4">
      <c r="A8" s="1" t="s">
        <v>22</v>
      </c>
      <c r="B8" s="1" t="s">
        <v>132</v>
      </c>
      <c r="C8" s="1" t="s">
        <v>133</v>
      </c>
      <c r="D8" s="1" t="s">
        <v>134</v>
      </c>
    </row>
    <row r="9" ht="30" customHeight="1" spans="1:4">
      <c r="A9" t="s">
        <v>135</v>
      </c>
      <c r="B9">
        <f>COUNTIFS(채점입력!A2:A41,"S1",채점입력!G2:G41,"&lt;&gt;미평가")</f>
        <v>0</v>
      </c>
      <c r="C9">
        <f>SUMIF(채점입력!A2:A41,"S1",채점입력!F2:F41)</f>
        <v>0</v>
      </c>
      <c r="D9" t="str">
        <f t="shared" ref="D9:D16" si="0">IF(B9&lt;5,"측정 중",TEXT(C9/5,"0.0%"))</f>
        <v>측정 중</v>
      </c>
    </row>
    <row r="10" ht="30" customHeight="1" spans="1:4">
      <c r="A10" t="s">
        <v>136</v>
      </c>
      <c r="B10">
        <f>COUNTIFS(채점입력!A2:A41,"S2",채점입력!G2:G41,"&lt;&gt;미평가")</f>
        <v>0</v>
      </c>
      <c r="C10">
        <f>SUMIF(채점입력!A2:A41,"S2",채점입력!F2:F41)</f>
        <v>0</v>
      </c>
      <c r="D10" t="str">
        <f t="shared" si="0"/>
        <v>측정 중</v>
      </c>
    </row>
    <row r="11" ht="30" customHeight="1" spans="1:4">
      <c r="A11" t="s">
        <v>137</v>
      </c>
      <c r="B11">
        <f>COUNTIFS(채점입력!A2:A41,"S3",채점입력!G2:G41,"&lt;&gt;미평가")</f>
        <v>0</v>
      </c>
      <c r="C11">
        <f>SUMIF(채점입력!A2:A41,"S3",채점입력!F2:F41)</f>
        <v>0</v>
      </c>
      <c r="D11" t="str">
        <f t="shared" si="0"/>
        <v>측정 중</v>
      </c>
    </row>
    <row r="12" ht="30" customHeight="1" spans="1:4">
      <c r="A12" t="s">
        <v>138</v>
      </c>
      <c r="B12">
        <f>COUNTIFS(채점입력!A2:A41,"S4",채점입력!G2:G41,"&lt;&gt;미평가")</f>
        <v>0</v>
      </c>
      <c r="C12">
        <f>SUMIF(채점입력!A2:A41,"S4",채점입력!F2:F41)</f>
        <v>0</v>
      </c>
      <c r="D12" t="str">
        <f t="shared" si="0"/>
        <v>측정 중</v>
      </c>
    </row>
    <row r="13" ht="30" customHeight="1" spans="1:4">
      <c r="A13" t="s">
        <v>139</v>
      </c>
      <c r="B13">
        <f>COUNTIFS(채점입력!A2:A41,"S5",채점입력!G2:G41,"&lt;&gt;미평가")</f>
        <v>0</v>
      </c>
      <c r="C13">
        <f>SUMIF(채점입력!A2:A41,"S5",채점입력!F2:F41)</f>
        <v>0</v>
      </c>
      <c r="D13" t="str">
        <f t="shared" si="0"/>
        <v>측정 중</v>
      </c>
    </row>
    <row r="14" ht="30" customHeight="1" spans="1:4">
      <c r="A14" t="s">
        <v>140</v>
      </c>
      <c r="B14">
        <f>COUNTIFS(채점입력!A2:A41,"S6",채점입력!G2:G41,"&lt;&gt;미평가")</f>
        <v>0</v>
      </c>
      <c r="C14">
        <f>SUMIF(채점입력!A2:A41,"S6",채점입력!F2:F41)</f>
        <v>0</v>
      </c>
      <c r="D14" t="str">
        <f t="shared" si="0"/>
        <v>측정 중</v>
      </c>
    </row>
    <row r="15" ht="30" customHeight="1" spans="1:4">
      <c r="A15" t="s">
        <v>141</v>
      </c>
      <c r="B15">
        <f>COUNTIFS(채점입력!A2:A41,"S7",채점입력!G2:G41,"&lt;&gt;미평가")</f>
        <v>0</v>
      </c>
      <c r="C15">
        <f>SUMIF(채점입력!A2:A41,"S7",채점입력!F2:F41)</f>
        <v>0</v>
      </c>
      <c r="D15" t="str">
        <f t="shared" si="0"/>
        <v>측정 중</v>
      </c>
    </row>
    <row r="16" ht="30" customHeight="1" spans="1:4">
      <c r="A16" t="s">
        <v>142</v>
      </c>
      <c r="B16">
        <f>COUNTIFS(채점입력!A2:A41,"S8",채점입력!G2:G41,"&lt;&gt;미평가")</f>
        <v>0</v>
      </c>
      <c r="C16">
        <f>SUMIF(채점입력!A2:A41,"S8",채점입력!F2:F41)</f>
        <v>0</v>
      </c>
      <c r="D16" t="str">
        <f t="shared" si="0"/>
        <v>측정 중</v>
      </c>
    </row>
    <row r="17" ht="30" customHeight="1"/>
    <row r="18" ht="30" customHeight="1" spans="1:4">
      <c r="A18" s="1" t="s">
        <v>143</v>
      </c>
      <c r="B18" s="1" t="s">
        <v>144</v>
      </c>
    </row>
    <row r="19" ht="30" customHeight="1" spans="1:4">
      <c r="A19" t="s">
        <v>145</v>
      </c>
      <c r="B19" t="s">
        <v>146</v>
      </c>
    </row>
    <row r="20" ht="30" customHeight="1" spans="1:4">
      <c r="A20" t="s">
        <v>147</v>
      </c>
      <c r="B20" t="s">
        <v>148</v>
      </c>
    </row>
    <row r="21" ht="30" customHeight="1" spans="1:4">
      <c r="A21" t="s">
        <v>149</v>
      </c>
      <c r="B21" t="s">
        <v>150</v>
      </c>
    </row>
    <row r="22" ht="30" customHeight="1" spans="1:4">
      <c r="A22" t="s">
        <v>151</v>
      </c>
      <c r="B22" t="s">
        <v>150</v>
      </c>
    </row>
    <row r="23" ht="30" customHeight="1" spans="1:4">
      <c r="A23" t="s">
        <v>152</v>
      </c>
      <c r="B23" t="s">
        <v>153</v>
      </c>
    </row>
    <row r="26" ht="48" customHeight="1" spans="1:4">
      <c r="A26" s="2" t="s">
        <v>154</v>
      </c>
      <c r="B26" s="2" t="s">
        <v>155</v>
      </c>
      <c r="C26" s="2" t="s">
        <v>156</v>
      </c>
      <c r="D26" s="2" t="s">
        <v>157</v>
      </c>
    </row>
  </sheetData>
  <pageMargins left="0.7" right="0.7" top="0.75" bottom="0.75" header="0.3" footer="0.3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7"/>
  <sheetViews>
    <sheetView workbookViewId="0">
      <pane ySplit="1" topLeftCell="A2" activePane="bottomLeft" state="frozen"/>
      <selection/>
      <selection pane="bottomLeft" activeCell="A1" sqref="A1"/>
    </sheetView>
  </sheetViews>
  <sheetFormatPr defaultColWidth="9" defaultRowHeight="14.25" outlineLevelCol="6"/>
  <cols>
    <col min="1" max="1" width="10" customWidth="1"/>
    <col min="2" max="2" width="26" customWidth="1"/>
    <col min="3" max="3" width="16" customWidth="1"/>
    <col min="4" max="4" width="67" customWidth="1"/>
    <col min="5" max="5" width="14" customWidth="1"/>
    <col min="6" max="6" width="16" customWidth="1"/>
    <col min="7" max="7" width="50" customWidth="1"/>
  </cols>
  <sheetData>
    <row r="1" ht="30" customHeight="1" spans="1:7">
      <c r="A1" s="1" t="s">
        <v>158</v>
      </c>
      <c r="B1" s="1" t="s">
        <v>159</v>
      </c>
      <c r="C1" s="1" t="s">
        <v>160</v>
      </c>
      <c r="D1" s="1" t="s">
        <v>161</v>
      </c>
      <c r="E1" s="1" t="s">
        <v>162</v>
      </c>
      <c r="F1" s="1" t="s">
        <v>163</v>
      </c>
      <c r="G1" s="1" t="s">
        <v>164</v>
      </c>
    </row>
    <row r="2" ht="25" customHeight="1" spans="1:7">
      <c r="A2" t="s">
        <v>165</v>
      </c>
      <c r="B2" t="s">
        <v>166</v>
      </c>
      <c r="C2" t="s">
        <v>167</v>
      </c>
      <c r="D2" s="2" t="s">
        <v>168</v>
      </c>
      <c r="E2" t="s">
        <v>169</v>
      </c>
      <c r="F2" t="s">
        <v>170</v>
      </c>
      <c r="G2" t="s">
        <v>171</v>
      </c>
    </row>
    <row r="3" ht="25" customHeight="1" spans="1:7">
      <c r="A3" t="s">
        <v>172</v>
      </c>
      <c r="B3" t="s">
        <v>173</v>
      </c>
      <c r="C3" t="s">
        <v>174</v>
      </c>
      <c r="D3" s="2" t="s">
        <v>175</v>
      </c>
      <c r="E3" t="s">
        <v>176</v>
      </c>
      <c r="F3" t="s">
        <v>170</v>
      </c>
      <c r="G3" t="s">
        <v>177</v>
      </c>
    </row>
    <row r="4" ht="25" customHeight="1" spans="1:7">
      <c r="A4" t="s">
        <v>178</v>
      </c>
      <c r="B4" t="s">
        <v>179</v>
      </c>
      <c r="C4" t="s">
        <v>174</v>
      </c>
      <c r="D4" s="2" t="s">
        <v>180</v>
      </c>
      <c r="E4" t="s">
        <v>181</v>
      </c>
      <c r="F4" t="s">
        <v>170</v>
      </c>
      <c r="G4" t="s">
        <v>182</v>
      </c>
    </row>
    <row r="5" ht="25" customHeight="1" spans="1:7">
      <c r="A5" t="s">
        <v>183</v>
      </c>
      <c r="B5" t="s">
        <v>184</v>
      </c>
      <c r="C5" t="s">
        <v>185</v>
      </c>
      <c r="D5" s="2" t="s">
        <v>186</v>
      </c>
      <c r="E5" t="s">
        <v>187</v>
      </c>
      <c r="F5" t="s">
        <v>170</v>
      </c>
      <c r="G5" t="s">
        <v>188</v>
      </c>
    </row>
    <row r="6" ht="25" customHeight="1" spans="1:7">
      <c r="A6" t="s">
        <v>189</v>
      </c>
      <c r="B6" t="s">
        <v>190</v>
      </c>
      <c r="C6" t="s">
        <v>191</v>
      </c>
      <c r="D6" s="2" t="s">
        <v>192</v>
      </c>
      <c r="E6" t="s">
        <v>176</v>
      </c>
      <c r="F6" t="s">
        <v>170</v>
      </c>
      <c r="G6" t="s">
        <v>193</v>
      </c>
    </row>
    <row r="7" ht="25" customHeight="1" spans="1:7">
      <c r="A7" t="s">
        <v>194</v>
      </c>
      <c r="B7" t="s">
        <v>195</v>
      </c>
      <c r="C7" t="s">
        <v>196</v>
      </c>
      <c r="D7" s="2" t="s">
        <v>197</v>
      </c>
      <c r="E7" t="s">
        <v>187</v>
      </c>
      <c r="F7" t="s">
        <v>170</v>
      </c>
      <c r="G7" t="s">
        <v>198</v>
      </c>
    </row>
    <row r="8" ht="25" customHeight="1" spans="1:7">
      <c r="A8" t="s">
        <v>199</v>
      </c>
      <c r="B8" t="s">
        <v>200</v>
      </c>
      <c r="C8" t="s">
        <v>196</v>
      </c>
      <c r="D8" s="2" t="s">
        <v>201</v>
      </c>
      <c r="E8" t="s">
        <v>187</v>
      </c>
      <c r="F8" t="s">
        <v>202</v>
      </c>
      <c r="G8" t="s">
        <v>203</v>
      </c>
    </row>
    <row r="9" ht="25" customHeight="1" spans="1:7">
      <c r="A9" t="s">
        <v>204</v>
      </c>
      <c r="B9" t="s">
        <v>205</v>
      </c>
      <c r="C9" t="s">
        <v>196</v>
      </c>
      <c r="D9" s="2" t="s">
        <v>206</v>
      </c>
      <c r="E9" t="s">
        <v>187</v>
      </c>
      <c r="F9" t="s">
        <v>202</v>
      </c>
      <c r="G9" t="s">
        <v>207</v>
      </c>
    </row>
    <row r="10" ht="25" customHeight="1" spans="1:7">
      <c r="A10" t="s">
        <v>208</v>
      </c>
      <c r="B10" t="s">
        <v>209</v>
      </c>
      <c r="C10" t="s">
        <v>167</v>
      </c>
      <c r="D10" s="2" t="s">
        <v>210</v>
      </c>
      <c r="E10" t="s">
        <v>187</v>
      </c>
      <c r="F10" t="s">
        <v>170</v>
      </c>
      <c r="G10" t="s">
        <v>211</v>
      </c>
    </row>
    <row r="11" ht="25" customHeight="1" spans="1:7">
      <c r="A11" t="s">
        <v>212</v>
      </c>
      <c r="B11" t="s">
        <v>213</v>
      </c>
      <c r="C11" t="s">
        <v>174</v>
      </c>
      <c r="D11" s="2" t="s">
        <v>214</v>
      </c>
      <c r="E11" t="s">
        <v>187</v>
      </c>
      <c r="F11" t="s">
        <v>170</v>
      </c>
      <c r="G11" t="s">
        <v>215</v>
      </c>
    </row>
    <row r="12" ht="25" customHeight="1" spans="1:7">
      <c r="A12" t="s">
        <v>216</v>
      </c>
      <c r="B12" t="s">
        <v>217</v>
      </c>
      <c r="C12" t="s">
        <v>174</v>
      </c>
      <c r="D12" s="2" t="s">
        <v>218</v>
      </c>
      <c r="E12" t="s">
        <v>187</v>
      </c>
      <c r="F12" t="s">
        <v>219</v>
      </c>
      <c r="G12" t="s">
        <v>220</v>
      </c>
    </row>
    <row r="13" ht="25" customHeight="1" spans="1:7">
      <c r="A13" t="s">
        <v>221</v>
      </c>
      <c r="B13" t="s">
        <v>222</v>
      </c>
      <c r="C13" t="s">
        <v>174</v>
      </c>
      <c r="D13" s="2" t="s">
        <v>223</v>
      </c>
      <c r="E13" t="s">
        <v>187</v>
      </c>
      <c r="F13" t="s">
        <v>219</v>
      </c>
      <c r="G13" t="s">
        <v>224</v>
      </c>
    </row>
    <row r="14" ht="25" customHeight="1" spans="1:7">
      <c r="A14" t="s">
        <v>225</v>
      </c>
      <c r="B14" t="s">
        <v>226</v>
      </c>
      <c r="C14" t="s">
        <v>174</v>
      </c>
      <c r="D14" s="2" t="s">
        <v>227</v>
      </c>
      <c r="E14" t="s">
        <v>187</v>
      </c>
      <c r="F14" t="s">
        <v>202</v>
      </c>
      <c r="G14" t="s">
        <v>228</v>
      </c>
    </row>
    <row r="15" ht="25" customHeight="1" spans="1:7">
      <c r="A15" t="s">
        <v>229</v>
      </c>
      <c r="B15" t="s">
        <v>230</v>
      </c>
      <c r="C15" t="s">
        <v>231</v>
      </c>
      <c r="D15" s="2" t="s">
        <v>232</v>
      </c>
      <c r="E15" t="s">
        <v>233</v>
      </c>
      <c r="F15" t="s">
        <v>170</v>
      </c>
      <c r="G15" t="s">
        <v>234</v>
      </c>
    </row>
    <row r="16" ht="25" customHeight="1" spans="1:7">
      <c r="A16" t="s">
        <v>235</v>
      </c>
      <c r="B16" t="s">
        <v>236</v>
      </c>
      <c r="C16" t="s">
        <v>237</v>
      </c>
      <c r="D16" s="2" t="s">
        <v>238</v>
      </c>
      <c r="E16" t="s">
        <v>239</v>
      </c>
      <c r="F16" t="s">
        <v>202</v>
      </c>
      <c r="G16" t="s">
        <v>240</v>
      </c>
    </row>
    <row r="17" ht="25" customHeight="1" spans="1:7">
      <c r="A17" t="s">
        <v>241</v>
      </c>
      <c r="B17" t="s">
        <v>242</v>
      </c>
      <c r="C17" t="s">
        <v>167</v>
      </c>
      <c r="D17" s="2" t="s">
        <v>243</v>
      </c>
      <c r="E17" t="s">
        <v>187</v>
      </c>
      <c r="F17" t="s">
        <v>202</v>
      </c>
      <c r="G17" t="s">
        <v>244</v>
      </c>
    </row>
  </sheetData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"/>
  <sheetViews>
    <sheetView workbookViewId="0">
      <pane ySplit="1" topLeftCell="A2" activePane="bottomLeft" state="frozen"/>
      <selection/>
      <selection pane="bottomLeft" activeCell="A1" sqref="A1"/>
    </sheetView>
  </sheetViews>
  <sheetFormatPr defaultColWidth="9" defaultRowHeight="14.25" outlineLevelRow="2"/>
  <cols>
    <col min="1" max="1" width="13" customWidth="1"/>
    <col min="2" max="2" width="16" customWidth="1"/>
    <col min="3" max="3" width="40" customWidth="1"/>
    <col min="4" max="5" width="23" customWidth="1"/>
    <col min="6" max="6" width="30" customWidth="1"/>
    <col min="7" max="7" width="44" customWidth="1"/>
    <col min="8" max="8" width="24" customWidth="1"/>
    <col min="9" max="9" width="45" customWidth="1"/>
  </cols>
  <sheetData>
    <row r="1" ht="30" customHeight="1" spans="1:9">
      <c r="A1" s="1" t="s">
        <v>245</v>
      </c>
      <c r="B1" s="1" t="s">
        <v>246</v>
      </c>
      <c r="C1" s="1" t="s">
        <v>247</v>
      </c>
      <c r="D1" s="1" t="s">
        <v>248</v>
      </c>
      <c r="E1" s="1" t="s">
        <v>249</v>
      </c>
      <c r="F1" s="1" t="s">
        <v>250</v>
      </c>
      <c r="G1" s="1" t="s">
        <v>251</v>
      </c>
      <c r="H1" s="1" t="s">
        <v>252</v>
      </c>
      <c r="I1" s="1" t="s">
        <v>253</v>
      </c>
    </row>
    <row r="2" ht="25" customHeight="1" spans="1:9">
      <c r="A2" t="s">
        <v>254</v>
      </c>
      <c r="B2" t="s">
        <v>255</v>
      </c>
      <c r="D2" s="4"/>
      <c r="E2" s="4"/>
    </row>
    <row r="3" ht="25" customHeight="1" spans="1:9">
      <c r="A3" t="s">
        <v>256</v>
      </c>
      <c r="B3" t="s">
        <v>255</v>
      </c>
      <c r="D3" s="4"/>
      <c r="E3" s="4"/>
    </row>
  </sheetData>
  <pageMargins left="0.7" right="0.7" top="0.75" bottom="0.75" header="0.3" footer="0.3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17"/>
  <sheetViews>
    <sheetView workbookViewId="0">
      <pane ySplit="1" topLeftCell="A2" activePane="bottomLeft" state="frozen"/>
      <selection/>
      <selection pane="bottomLeft" activeCell="A1" sqref="A1"/>
    </sheetView>
  </sheetViews>
  <sheetFormatPr defaultColWidth="9" defaultRowHeight="14.25"/>
  <cols>
    <col min="1" max="1" width="10" customWidth="1"/>
    <col min="2" max="2" width="28" customWidth="1"/>
    <col min="3" max="3" width="16" customWidth="1"/>
    <col min="4" max="5" width="20" customWidth="1"/>
    <col min="6" max="6" width="17" customWidth="1"/>
    <col min="7" max="7" width="19" customWidth="1"/>
    <col min="8" max="8" width="20" customWidth="1"/>
    <col min="9" max="9" width="17" customWidth="1"/>
    <col min="10" max="10" width="52" customWidth="1"/>
  </cols>
  <sheetData>
    <row r="1" ht="30" customHeight="1" spans="1:10">
      <c r="A1" s="1" t="s">
        <v>158</v>
      </c>
      <c r="B1" s="1" t="s">
        <v>257</v>
      </c>
      <c r="C1" s="1" t="s">
        <v>160</v>
      </c>
      <c r="D1" s="1" t="s">
        <v>258</v>
      </c>
      <c r="E1" s="1" t="s">
        <v>259</v>
      </c>
      <c r="F1" s="1" t="s">
        <v>260</v>
      </c>
      <c r="G1" s="1" t="s">
        <v>261</v>
      </c>
      <c r="H1" s="1" t="s">
        <v>262</v>
      </c>
      <c r="I1" s="1" t="s">
        <v>163</v>
      </c>
      <c r="J1" s="1" t="s">
        <v>263</v>
      </c>
    </row>
    <row r="2" ht="25" customHeight="1" spans="1:10">
      <c r="A2" t="s">
        <v>165</v>
      </c>
      <c r="B2" t="s">
        <v>166</v>
      </c>
      <c r="C2" t="s">
        <v>167</v>
      </c>
      <c r="F2" t="str">
        <f t="shared" ref="F2:F17" si="0">IF(OR(NOT(ISNUMBER(D2)),NOT(ISNUMBER(E2))),"",E2-D2)</f>
        <v/>
      </c>
      <c r="G2" s="3" t="str">
        <f t="shared" ref="G2:G17" si="1">IF(OR(NOT(ISNUMBER(D2)),NOT(ISNUMBER(E2)),D2=0),"",(E2-D2)/D2)</f>
        <v/>
      </c>
      <c r="I2" t="s">
        <v>264</v>
      </c>
      <c r="J2" t="s">
        <v>171</v>
      </c>
    </row>
    <row r="3" ht="25" customHeight="1" spans="1:10">
      <c r="A3" t="s">
        <v>172</v>
      </c>
      <c r="B3" t="s">
        <v>173</v>
      </c>
      <c r="C3" t="s">
        <v>174</v>
      </c>
      <c r="F3" t="str">
        <f t="shared" si="0"/>
        <v/>
      </c>
      <c r="G3" s="3" t="str">
        <f t="shared" si="1"/>
        <v/>
      </c>
      <c r="I3" t="s">
        <v>264</v>
      </c>
      <c r="J3" t="s">
        <v>177</v>
      </c>
    </row>
    <row r="4" ht="25" customHeight="1" spans="1:10">
      <c r="A4" t="s">
        <v>178</v>
      </c>
      <c r="B4" t="s">
        <v>179</v>
      </c>
      <c r="C4" t="s">
        <v>174</v>
      </c>
      <c r="F4" t="str">
        <f t="shared" si="0"/>
        <v/>
      </c>
      <c r="G4" s="3" t="str">
        <f t="shared" si="1"/>
        <v/>
      </c>
      <c r="I4" t="s">
        <v>264</v>
      </c>
      <c r="J4" t="s">
        <v>182</v>
      </c>
    </row>
    <row r="5" ht="25" customHeight="1" spans="1:10">
      <c r="A5" t="s">
        <v>183</v>
      </c>
      <c r="B5" t="s">
        <v>184</v>
      </c>
      <c r="C5" t="s">
        <v>185</v>
      </c>
      <c r="F5" t="str">
        <f t="shared" si="0"/>
        <v/>
      </c>
      <c r="G5" s="3" t="str">
        <f t="shared" si="1"/>
        <v/>
      </c>
      <c r="I5" t="s">
        <v>264</v>
      </c>
      <c r="J5" t="s">
        <v>188</v>
      </c>
    </row>
    <row r="6" ht="25" customHeight="1" spans="1:10">
      <c r="A6" t="s">
        <v>189</v>
      </c>
      <c r="B6" t="s">
        <v>190</v>
      </c>
      <c r="C6" t="s">
        <v>191</v>
      </c>
      <c r="F6" t="str">
        <f t="shared" si="0"/>
        <v/>
      </c>
      <c r="G6" s="3" t="str">
        <f t="shared" si="1"/>
        <v/>
      </c>
      <c r="I6" t="s">
        <v>264</v>
      </c>
      <c r="J6" t="s">
        <v>193</v>
      </c>
    </row>
    <row r="7" ht="25" customHeight="1" spans="1:10">
      <c r="A7" t="s">
        <v>194</v>
      </c>
      <c r="B7" t="s">
        <v>195</v>
      </c>
      <c r="C7" t="s">
        <v>196</v>
      </c>
      <c r="F7" t="str">
        <f t="shared" si="0"/>
        <v/>
      </c>
      <c r="G7" s="3" t="str">
        <f t="shared" si="1"/>
        <v/>
      </c>
      <c r="I7" t="s">
        <v>264</v>
      </c>
      <c r="J7" t="s">
        <v>198</v>
      </c>
    </row>
    <row r="8" ht="25" customHeight="1" spans="1:10">
      <c r="A8" t="s">
        <v>199</v>
      </c>
      <c r="B8" t="s">
        <v>200</v>
      </c>
      <c r="C8" t="s">
        <v>196</v>
      </c>
      <c r="F8" t="str">
        <f t="shared" si="0"/>
        <v/>
      </c>
      <c r="G8" s="3" t="str">
        <f t="shared" si="1"/>
        <v/>
      </c>
      <c r="I8" t="s">
        <v>264</v>
      </c>
      <c r="J8" t="s">
        <v>203</v>
      </c>
    </row>
    <row r="9" ht="25" customHeight="1" spans="1:10">
      <c r="A9" t="s">
        <v>204</v>
      </c>
      <c r="B9" t="s">
        <v>205</v>
      </c>
      <c r="C9" t="s">
        <v>196</v>
      </c>
      <c r="F9" t="str">
        <f t="shared" si="0"/>
        <v/>
      </c>
      <c r="G9" s="3" t="str">
        <f t="shared" si="1"/>
        <v/>
      </c>
      <c r="I9" t="s">
        <v>264</v>
      </c>
      <c r="J9" t="s">
        <v>207</v>
      </c>
    </row>
    <row r="10" ht="25" customHeight="1" spans="1:10">
      <c r="A10" t="s">
        <v>208</v>
      </c>
      <c r="B10" t="s">
        <v>209</v>
      </c>
      <c r="C10" t="s">
        <v>167</v>
      </c>
      <c r="F10" t="str">
        <f t="shared" si="0"/>
        <v/>
      </c>
      <c r="G10" s="3" t="str">
        <f t="shared" si="1"/>
        <v/>
      </c>
      <c r="I10" t="s">
        <v>264</v>
      </c>
      <c r="J10" t="s">
        <v>211</v>
      </c>
    </row>
    <row r="11" ht="25" customHeight="1" spans="1:10">
      <c r="A11" t="s">
        <v>212</v>
      </c>
      <c r="B11" t="s">
        <v>213</v>
      </c>
      <c r="C11" t="s">
        <v>174</v>
      </c>
      <c r="F11" t="str">
        <f t="shared" si="0"/>
        <v/>
      </c>
      <c r="G11" s="3" t="str">
        <f t="shared" si="1"/>
        <v/>
      </c>
      <c r="I11" t="s">
        <v>264</v>
      </c>
      <c r="J11" t="s">
        <v>215</v>
      </c>
    </row>
    <row r="12" ht="25" customHeight="1" spans="1:10">
      <c r="A12" t="s">
        <v>216</v>
      </c>
      <c r="B12" t="s">
        <v>217</v>
      </c>
      <c r="C12" t="s">
        <v>174</v>
      </c>
      <c r="F12" t="str">
        <f t="shared" si="0"/>
        <v/>
      </c>
      <c r="G12" s="3" t="str">
        <f t="shared" si="1"/>
        <v/>
      </c>
      <c r="I12" t="s">
        <v>264</v>
      </c>
      <c r="J12" t="s">
        <v>220</v>
      </c>
    </row>
    <row r="13" ht="25" customHeight="1" spans="1:10">
      <c r="A13" t="s">
        <v>221</v>
      </c>
      <c r="B13" t="s">
        <v>222</v>
      </c>
      <c r="C13" t="s">
        <v>174</v>
      </c>
      <c r="F13" t="str">
        <f t="shared" si="0"/>
        <v/>
      </c>
      <c r="G13" s="3" t="str">
        <f t="shared" si="1"/>
        <v/>
      </c>
      <c r="I13" t="s">
        <v>264</v>
      </c>
      <c r="J13" t="s">
        <v>224</v>
      </c>
    </row>
    <row r="14" ht="25" customHeight="1" spans="1:10">
      <c r="A14" t="s">
        <v>225</v>
      </c>
      <c r="B14" t="s">
        <v>226</v>
      </c>
      <c r="C14" t="s">
        <v>174</v>
      </c>
      <c r="F14" t="str">
        <f t="shared" si="0"/>
        <v/>
      </c>
      <c r="G14" s="3" t="str">
        <f t="shared" si="1"/>
        <v/>
      </c>
      <c r="I14" t="s">
        <v>264</v>
      </c>
      <c r="J14" t="s">
        <v>228</v>
      </c>
    </row>
    <row r="15" ht="25" customHeight="1" spans="1:10">
      <c r="A15" t="s">
        <v>229</v>
      </c>
      <c r="B15" t="s">
        <v>230</v>
      </c>
      <c r="C15" t="s">
        <v>231</v>
      </c>
      <c r="F15" t="str">
        <f t="shared" si="0"/>
        <v/>
      </c>
      <c r="G15" s="3" t="str">
        <f t="shared" si="1"/>
        <v/>
      </c>
      <c r="I15" t="s">
        <v>264</v>
      </c>
      <c r="J15" t="s">
        <v>234</v>
      </c>
    </row>
    <row r="16" ht="25" customHeight="1" spans="1:10">
      <c r="A16" t="s">
        <v>235</v>
      </c>
      <c r="B16" t="s">
        <v>236</v>
      </c>
      <c r="C16" t="s">
        <v>237</v>
      </c>
      <c r="F16" t="str">
        <f t="shared" si="0"/>
        <v/>
      </c>
      <c r="G16" s="3" t="str">
        <f t="shared" si="1"/>
        <v/>
      </c>
      <c r="I16" t="s">
        <v>264</v>
      </c>
      <c r="J16" t="s">
        <v>240</v>
      </c>
    </row>
    <row r="17" ht="25" customHeight="1" spans="1:10">
      <c r="A17" t="s">
        <v>241</v>
      </c>
      <c r="B17" t="s">
        <v>242</v>
      </c>
      <c r="C17" t="s">
        <v>167</v>
      </c>
      <c r="F17" t="str">
        <f t="shared" si="0"/>
        <v/>
      </c>
      <c r="G17" s="3" t="str">
        <f t="shared" si="1"/>
        <v/>
      </c>
      <c r="I17" t="s">
        <v>264</v>
      </c>
      <c r="J17" t="s">
        <v>244</v>
      </c>
    </row>
  </sheetData>
  <pageMargins left="0.7" right="0.7" top="0.75" bottom="0.75" header="0.3" footer="0.3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2"/>
  <sheetViews>
    <sheetView workbookViewId="0">
      <pane ySplit="1" topLeftCell="A2" activePane="bottomLeft" state="frozen"/>
      <selection/>
      <selection pane="bottomLeft" activeCell="A1" sqref="A1"/>
    </sheetView>
  </sheetViews>
  <sheetFormatPr defaultColWidth="9" defaultRowHeight="14.25" outlineLevelRow="1"/>
  <cols>
    <col min="1" max="1" width="13" customWidth="1"/>
    <col min="2" max="2" width="39" customWidth="1"/>
    <col min="3" max="3" width="29" customWidth="1"/>
    <col min="4" max="4" width="18" customWidth="1"/>
    <col min="5" max="5" width="16" customWidth="1"/>
    <col min="6" max="6" width="42" customWidth="1"/>
    <col min="7" max="7" width="24" customWidth="1"/>
    <col min="8" max="9" width="18" customWidth="1"/>
    <col min="10" max="10" width="20" customWidth="1"/>
    <col min="11" max="12" width="18" customWidth="1"/>
    <col min="13" max="13" width="16" customWidth="1"/>
    <col min="14" max="15" width="18" customWidth="1"/>
  </cols>
  <sheetData>
    <row r="1" ht="30" customHeight="1" spans="1:15">
      <c r="A1" s="1" t="s">
        <v>245</v>
      </c>
      <c r="B1" s="1" t="s">
        <v>265</v>
      </c>
      <c r="C1" s="1" t="s">
        <v>266</v>
      </c>
      <c r="D1" s="1" t="s">
        <v>267</v>
      </c>
      <c r="E1" s="1" t="s">
        <v>268</v>
      </c>
      <c r="F1" s="1" t="s">
        <v>269</v>
      </c>
      <c r="G1" s="1" t="s">
        <v>248</v>
      </c>
      <c r="H1" s="1" t="s">
        <v>270</v>
      </c>
      <c r="I1" s="1" t="s">
        <v>271</v>
      </c>
      <c r="J1" s="1" t="s">
        <v>272</v>
      </c>
      <c r="K1" s="1" t="s">
        <v>273</v>
      </c>
      <c r="L1" s="1" t="s">
        <v>274</v>
      </c>
      <c r="M1" s="1" t="s">
        <v>275</v>
      </c>
      <c r="N1" s="1" t="s">
        <v>276</v>
      </c>
      <c r="O1" s="1" t="s">
        <v>277</v>
      </c>
    </row>
    <row r="2" ht="25" customHeight="1"/>
  </sheetData>
  <pageMargins left="0.7" right="0.7" top="0.75" bottom="0.75" header="0.3" footer="0.3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2"/>
  <sheetViews>
    <sheetView workbookViewId="0">
      <pane ySplit="1" topLeftCell="A2" activePane="bottomLeft" state="frozen"/>
      <selection/>
      <selection pane="bottomLeft" activeCell="A1" sqref="A1"/>
    </sheetView>
  </sheetViews>
  <sheetFormatPr defaultColWidth="9" defaultRowHeight="14.25" outlineLevelRow="1"/>
  <cols>
    <col min="1" max="1" width="14" customWidth="1"/>
    <col min="2" max="2" width="39" customWidth="1"/>
    <col min="3" max="3" width="28" customWidth="1"/>
    <col min="4" max="4" width="16" customWidth="1"/>
    <col min="5" max="5" width="24" customWidth="1"/>
    <col min="6" max="7" width="40" customWidth="1"/>
    <col min="8" max="9" width="24" customWidth="1"/>
    <col min="10" max="10" width="20" customWidth="1"/>
    <col min="11" max="11" width="18" customWidth="1"/>
    <col min="12" max="12" width="36" customWidth="1"/>
    <col min="13" max="13" width="18" customWidth="1"/>
  </cols>
  <sheetData>
    <row r="1" ht="30" customHeight="1" spans="1:13">
      <c r="A1" s="1" t="s">
        <v>245</v>
      </c>
      <c r="B1" s="1" t="s">
        <v>265</v>
      </c>
      <c r="C1" s="1" t="s">
        <v>266</v>
      </c>
      <c r="D1" s="1" t="s">
        <v>22</v>
      </c>
      <c r="E1" s="1" t="s">
        <v>278</v>
      </c>
      <c r="F1" s="1" t="s">
        <v>279</v>
      </c>
      <c r="G1" s="1" t="s">
        <v>269</v>
      </c>
      <c r="H1" s="1" t="s">
        <v>248</v>
      </c>
      <c r="I1" s="1" t="s">
        <v>249</v>
      </c>
      <c r="J1" s="1" t="s">
        <v>280</v>
      </c>
      <c r="K1" s="1" t="s">
        <v>276</v>
      </c>
      <c r="L1" s="1" t="s">
        <v>281</v>
      </c>
      <c r="M1" s="1" t="s">
        <v>282</v>
      </c>
    </row>
    <row r="2" ht="25" customHeight="1"/>
  </sheetData>
  <pageMargins left="0.7" right="0.7" top="0.75" bottom="0.75" header="0.3" footer="0.3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11"/>
  <sheetViews>
    <sheetView workbookViewId="0">
      <pane ySplit="1" topLeftCell="A2" activePane="bottomLeft" state="frozen"/>
      <selection/>
      <selection pane="bottomLeft" activeCell="A1" sqref="A1"/>
    </sheetView>
  </sheetViews>
  <sheetFormatPr defaultColWidth="9" defaultRowHeight="14.25" outlineLevelCol="1"/>
  <cols>
    <col min="1" max="1" width="20" customWidth="1"/>
    <col min="2" max="2" width="105" customWidth="1"/>
  </cols>
  <sheetData>
    <row r="1" ht="30" customHeight="1" spans="1:2">
      <c r="A1" s="1" t="s">
        <v>283</v>
      </c>
      <c r="B1" s="1" t="s">
        <v>284</v>
      </c>
    </row>
    <row r="2" ht="25" customHeight="1" spans="1:2">
      <c r="A2" t="s">
        <v>285</v>
      </c>
      <c r="B2" s="2" t="s">
        <v>286</v>
      </c>
    </row>
    <row r="3" ht="25" customHeight="1" spans="1:2">
      <c r="A3" t="s">
        <v>287</v>
      </c>
      <c r="B3" s="2" t="s">
        <v>288</v>
      </c>
    </row>
    <row r="4" ht="25" customHeight="1" spans="1:2">
      <c r="A4" t="s">
        <v>289</v>
      </c>
      <c r="B4" s="2" t="s">
        <v>290</v>
      </c>
    </row>
    <row r="5" ht="25" customHeight="1" spans="1:2">
      <c r="A5" t="s">
        <v>291</v>
      </c>
      <c r="B5" s="2" t="s">
        <v>292</v>
      </c>
    </row>
    <row r="6" ht="25" customHeight="1" spans="1:2">
      <c r="A6" t="s">
        <v>293</v>
      </c>
      <c r="B6" s="2" t="s">
        <v>294</v>
      </c>
    </row>
    <row r="7" ht="25" customHeight="1" spans="1:2">
      <c r="A7" t="s">
        <v>295</v>
      </c>
      <c r="B7" s="2" t="s">
        <v>296</v>
      </c>
    </row>
    <row r="8" ht="25" customHeight="1" spans="1:2">
      <c r="A8" t="s">
        <v>297</v>
      </c>
      <c r="B8" s="2" t="s">
        <v>298</v>
      </c>
    </row>
    <row r="9" ht="25" customHeight="1" spans="1:2">
      <c r="A9" t="s">
        <v>299</v>
      </c>
      <c r="B9" s="2" t="s">
        <v>300</v>
      </c>
    </row>
    <row r="10" ht="25" customHeight="1" spans="1:2">
      <c r="A10" t="s">
        <v>301</v>
      </c>
      <c r="B10" s="2" t="s">
        <v>302</v>
      </c>
    </row>
    <row r="11" ht="25" customHeight="1" spans="1:2">
      <c r="A11" t="s">
        <v>303</v>
      </c>
      <c r="B11" s="2" t="s">
        <v>304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11</vt:i4>
      </vt:variant>
    </vt:vector>
  </HeadingPairs>
  <TitlesOfParts>
    <vt:vector size="11" baseType="lpstr">
      <vt:lpstr>사용안내</vt:lpstr>
      <vt:lpstr>단계별질문</vt:lpstr>
      <vt:lpstr>단계별정답</vt:lpstr>
      <vt:lpstr>채점입력</vt:lpstr>
      <vt:lpstr>점수집계</vt:lpstr>
      <vt:lpstr>성능지표정의</vt:lpstr>
      <vt:lpstr>평가실행관리</vt:lpstr>
      <vt:lpstr>성능결과비교</vt:lpstr>
      <vt:lpstr>상담Trace원본</vt:lpstr>
      <vt:lpstr>작업실행원본</vt:lpstr>
      <vt:lpstr>통합평가안내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fureu</cp:lastModifiedBy>
  <dcterms:created xsi:type="dcterms:W3CDTF">2026-10-30T10:15:23Z</dcterms:created>
  <dcterms:modified xsi:type="dcterms:W3CDTF">2026-10-30T15:28:05Z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221B7C9FC0944E9AB6CA9C1ECE95A854_12</vt:lpwstr>
  </property>
  <property fmtid="{D5CDD505-2E9C-101B-9397-08002B2CF9AE}" pid="3" name="KSOProductBuildVer">
    <vt:lpwstr>1042-12.1.0.29162</vt:lpwstr>
  </property>
  <property fmtid="{D5CDD505-2E9C-101B-9397-08002B2CF9AE}" pid="4" name="CalculationRule">
    <vt:i4>0</vt:i4>
  </property>
</Properties>
</file>